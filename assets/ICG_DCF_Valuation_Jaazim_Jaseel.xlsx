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istoricals" sheetId="2" state="visible" r:id="rId4"/>
    <sheet name="Assumptions" sheetId="3" state="visible" r:id="rId5"/>
    <sheet name="DCF" sheetId="4" state="visible" r:id="rId6"/>
    <sheet name="Sensitivity" sheetId="5" state="visible" r:id="rId7"/>
    <sheet name="Offer &amp; peer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<sst xmlns="http://schemas.openxmlformats.org/spreadsheetml/2006/main" count="216" uniqueCount="201">
  <si>
    <t xml:space="preserve">Irish Continental Group plc – DCF valuation vs the €8.00 Bluefin offer</t>
  </si>
  <si>
    <t xml:space="preserve">Prepared by Jaazim Jaseel as an independent exercise using only publicly available information. Not investment advice. Not affiliated with ICG, Bluefin or any adviser.</t>
  </si>
  <si>
    <t xml:space="preserve">How to read this model</t>
  </si>
  <si>
    <t xml:space="preserve">Blue text = hardcoded inputs (sourced in the Sources column or cell comments). Black = formulas. Green = links to another sheet. Yellow fill = key assumptions to flex.</t>
  </si>
  <si>
    <t xml:space="preserve">Units: € millions unless stated. Per-share figures in €. Valuation date 30 June 2026 (latest reported balance sheet).</t>
  </si>
  <si>
    <t xml:space="preserve">Method: unlevered free cash flow (FCFF) for H2 2026 to FY2030, mid-period discounting, Gordon growth terminal value, exit-multiple cross-check.</t>
  </si>
  <si>
    <t xml:space="preserve">IFRS 16: EBITDA is post-IFRS 16, so lease liabilities are deducted as debt in the equity bridge (same treatment on both sides).</t>
  </si>
  <si>
    <t xml:space="preserve">Sheets</t>
  </si>
  <si>
    <t xml:space="preserve">Historicals – FY2023 to FY2025, H1 2025, H1 2026 and LTM to June 2026, from published accounts.</t>
  </si>
  <si>
    <t xml:space="preserve">Assumptions – every forecast and WACC input in one place.</t>
  </si>
  <si>
    <t xml:space="preserve">DCF – forecast, FCFF, discounting, EV-to-equity bridge, value per share vs offer.</t>
  </si>
  <si>
    <t xml:space="preserve">Sensitivity – value per share across WACC and terminal growth.</t>
  </si>
  <si>
    <t xml:space="preserve">Offer &amp; peers – offer EV bridge and listed ferry peer multiples.</t>
  </si>
  <si>
    <t xml:space="preserve">Sources – documents used.</t>
  </si>
  <si>
    <t xml:space="preserve">Historical financials (€m)</t>
  </si>
  <si>
    <t xml:space="preserve">€m</t>
  </si>
  <si>
    <t xml:space="preserve">FY2023</t>
  </si>
  <si>
    <t xml:space="preserve">FY2024</t>
  </si>
  <si>
    <t xml:space="preserve">FY2025</t>
  </si>
  <si>
    <t xml:space="preserve">H1 2025</t>
  </si>
  <si>
    <t xml:space="preserve">H1 2026</t>
  </si>
  <si>
    <t xml:space="preserve">LTM Jun-26</t>
  </si>
  <si>
    <t xml:space="preserve">Source / note</t>
  </si>
  <si>
    <t xml:space="preserve">Revenue</t>
  </si>
  <si>
    <t xml:space="preserve">FY: ICG Full Year Results 2025 (preliminary statement, Mar 2026): https://icg.ie/wp-content/uploads/2026/03/Full-Year-Results-2025.pdf ; FY2023: ICG Preliminary Statement 2024 Results (Mar 2025): https://icg.ie/wp-content/uploads/2025/03/Preliminary-Statement-2024-Results-FINAL.pdf ; H1: ICG Half-Yearly Financial Report 2026 (19 Aug 2026): https://icg.ie/wp-content/uploads/2026/08/2026i-ICG-Half-Year-Report-Final-PDF.pdf</t>
  </si>
  <si>
    <t xml:space="preserve">  Ferries revenue (incl. inter-segment)</t>
  </si>
  <si>
    <t xml:space="preserve">  Container &amp; Terminal revenue</t>
  </si>
  <si>
    <t xml:space="preserve">Operating profit (EBIT)</t>
  </si>
  <si>
    <t xml:space="preserve">Depreciation &amp; amortisation</t>
  </si>
  <si>
    <t xml:space="preserve">EBITDA (post-IFRS 16)</t>
  </si>
  <si>
    <t xml:space="preserve">Formula: EBIT + D&amp;A</t>
  </si>
  <si>
    <t xml:space="preserve">  Ferries EBITDA</t>
  </si>
  <si>
    <t xml:space="preserve">  Container &amp; Terminal EBITDA</t>
  </si>
  <si>
    <t xml:space="preserve">Fuel and ETS costs</t>
  </si>
  <si>
    <t xml:space="preserve">Share-based payment expense</t>
  </si>
  <si>
    <t xml:space="preserve">FY2023 not captured</t>
  </si>
  <si>
    <t xml:space="preserve">Lease principal repayments</t>
  </si>
  <si>
    <t xml:space="preserve">Capital expenditure (cash)</t>
  </si>
  <si>
    <t xml:space="preserve">  of which maintenance capex</t>
  </si>
  <si>
    <t xml:space="preserve">Maintenance capex not split at half-year</t>
  </si>
  <si>
    <t xml:space="preserve">Cash generated from operations</t>
  </si>
  <si>
    <t xml:space="preserve">Inventories (period end)</t>
  </si>
  <si>
    <t xml:space="preserve">Trade &amp; other receivables</t>
  </si>
  <si>
    <t xml:space="preserve">Trade &amp; other payables</t>
  </si>
  <si>
    <t xml:space="preserve">Net working capital</t>
  </si>
  <si>
    <t xml:space="preserve">Formula: inventories + receivables − payables (negative = customers/suppliers fund the business)</t>
  </si>
  <si>
    <t xml:space="preserve">Cash</t>
  </si>
  <si>
    <t xml:space="preserve">Bank loans</t>
  </si>
  <si>
    <t xml:space="preserve">FY2023 bank loans not captured; FY2023 borrowings were €153.5m</t>
  </si>
  <si>
    <t xml:space="preserve">Lease liabilities</t>
  </si>
  <si>
    <t xml:space="preserve">Reported net debt</t>
  </si>
  <si>
    <t xml:space="preserve">As reported: bank loans + leases − cash − capitalised origination fees</t>
  </si>
  <si>
    <t xml:space="preserve">Net pension surplus</t>
  </si>
  <si>
    <t xml:space="preserve">Cars carried ('000)</t>
  </si>
  <si>
    <t xml:space="preserve">LTM column for balance sheet rows = 30 Jun 2026 balance</t>
  </si>
  <si>
    <t xml:space="preserve">RoRo freight units ('000)</t>
  </si>
  <si>
    <t xml:space="preserve">Containers shipped (teu '000)</t>
  </si>
  <si>
    <t xml:space="preserve">Ratios</t>
  </si>
  <si>
    <t xml:space="preserve">EBITDA margin</t>
  </si>
  <si>
    <t xml:space="preserve">Fuel &amp; ETS as % of revenue</t>
  </si>
  <si>
    <t xml:space="preserve">Capex as % of revenue</t>
  </si>
  <si>
    <t xml:space="preserve">NWC as % of LTM/FY revenue</t>
  </si>
  <si>
    <t xml:space="preserve">Cash conversion (cash from ops / EBITDA)</t>
  </si>
  <si>
    <t xml:space="preserve">Assumptions (€m unless stated)</t>
  </si>
  <si>
    <t xml:space="preserve">Input</t>
  </si>
  <si>
    <t xml:space="preserve">Value</t>
  </si>
  <si>
    <t xml:space="preserve">Basis / source</t>
  </si>
  <si>
    <t xml:space="preserve">Valuation date</t>
  </si>
  <si>
    <t xml:space="preserve">30-Jun-2026</t>
  </si>
  <si>
    <t xml:space="preserve">Latest reported balance sheet (H1 2026)</t>
  </si>
  <si>
    <t xml:space="preserve">Offer price per share (€)</t>
  </si>
  <si>
    <t xml:space="preserve">Rule 2.7 Announcement, Recommended Cash Offer for ICG by Bluefin Bidco (24 Jul 2026)</t>
  </si>
  <si>
    <t xml:space="preserve">Shares in issue (m)</t>
  </si>
  <si>
    <t xml:space="preserve">Rule 2.7 Announcement, Recommended Cash Offer for ICG by Bluefin Bidco (24 Jul 2026): 148,466,858 shares</t>
  </si>
  <si>
    <t xml:space="preserve">Outstanding share awards (m)</t>
  </si>
  <si>
    <t xml:space="preserve">Rule 2.7 Announcement, Recommended Cash Offer for ICG by Bluefin Bidco (24 Jul 2026): awards over 3,503,061 shares (treated as fully dilutive)</t>
  </si>
  <si>
    <t xml:space="preserve">Net debt at 30 Jun 2026 (reported)</t>
  </si>
  <si>
    <t xml:space="preserve">Link: H1 2026 net debt incl. €49.7m leases</t>
  </si>
  <si>
    <t xml:space="preserve">H2 2026 revenue change vs H2 2025</t>
  </si>
  <si>
    <t xml:space="preserve">Flat: higher container volumes and surcharges offset car (−7.9%) and RoRo (−9.3%) volume declines to 15 Aug 2026 (H1 2026 report)</t>
  </si>
  <si>
    <t xml:space="preserve">H2 2026 EBITDA change vs H2 2025</t>
  </si>
  <si>
    <t xml:space="preserve">Peak-season volume weakness, P&amp;O Dover–Calais space charter termination notice, full ETS phase-in. Judgment.</t>
  </si>
  <si>
    <t xml:space="preserve">Revenue growth 2027–2030 (p.a.)</t>
  </si>
  <si>
    <t xml:space="preserve">Roughly inflation plus modest freight/container growth. 2023–25 revenue CAGR was 8.0%, partly fuel surcharge-driven.</t>
  </si>
  <si>
    <t xml:space="preserve">EBITDA margin 2027</t>
  </si>
  <si>
    <t xml:space="preserve">2023–25 margins 23.2%, 22.1%, 22.6%. Recovery from 2026 but below 2023 given ETS cost.</t>
  </si>
  <si>
    <t xml:space="preserve">EBITDA margin 2028–2030</t>
  </si>
  <si>
    <t xml:space="preserve">Mid-point of 2024–25 margins</t>
  </si>
  <si>
    <t xml:space="preserve">D&amp;A as % of revenue (tax shield only)</t>
  </si>
  <si>
    <t xml:space="preserve">FY2025 D&amp;A €65.0m / revenue €666.7m</t>
  </si>
  <si>
    <t xml:space="preserve">H2 2026 capex</t>
  </si>
  <si>
    <t xml:space="preserve">H1 2026 capex €95.2m included the Oscar Wilde purchase; contracted commitments only €6.6m at 30 Jun 2026</t>
  </si>
  <si>
    <t xml:space="preserve">Sustainable capex 2027+ as % of revenue</t>
  </si>
  <si>
    <t xml:space="preserve">Set near PP&amp;E depreciation (FY2025 €53.7m, 8.1% of revenue) to fund fleet renewal, well above reported maintenance capex (€19.4m). Key judgment.</t>
  </si>
  <si>
    <t xml:space="preserve">Cash tax rate</t>
  </si>
  <si>
    <t xml:space="preserve">ICG's shipping activities are taxed under the tonnage tax regime. FY2025 tax €2.6m on PBT €77.5m (3.4%)</t>
  </si>
  <si>
    <t xml:space="preserve">Year-end NWC as % of revenue</t>
  </si>
  <si>
    <t xml:space="preserve">Dec 2023 −3.7%, Dec 2024 −3.6%, Dec 2025 −5.3% (Historicals ratios)</t>
  </si>
  <si>
    <t xml:space="preserve">Risk-free rate</t>
  </si>
  <si>
    <t xml:space="preserve">Irish 10-year government bond yield, 16 Oct 2026 (Trading Economics)</t>
  </si>
  <si>
    <t xml:space="preserve">Equity risk premium</t>
  </si>
  <si>
    <t xml:space="preserve">Assumption, mature-market range 5–6%</t>
  </si>
  <si>
    <t xml:space="preserve">Equity beta (relevered)</t>
  </si>
  <si>
    <t xml:space="preserve">Assumption: cyclical transport, partly infrastructure-like port assets. Flex in Sensitivity.</t>
  </si>
  <si>
    <t xml:space="preserve">Size / liquidity premium</t>
  </si>
  <si>
    <t xml:space="preserve">Assumption: mid-cap with concentrated ownership</t>
  </si>
  <si>
    <t xml:space="preserve">Pre-tax cost of debt</t>
  </si>
  <si>
    <t xml:space="preserve">FY2025 average rate 3.14% (FY2025 results) plus margin for longer-term funding</t>
  </si>
  <si>
    <t xml:space="preserve">Target debt / (debt + equity)</t>
  </si>
  <si>
    <t xml:space="preserve">Pre-offer market capital structure ~16% (net debt €226m vs ~€950m market cap at €6.24)</t>
  </si>
  <si>
    <t xml:space="preserve">Terminal growth rate</t>
  </si>
  <si>
    <t xml:space="preserve">Long-run euro-area inflation</t>
  </si>
  <si>
    <t xml:space="preserve">Exit EV/EBITDA multiple (cross-check)</t>
  </si>
  <si>
    <t xml:space="preserve">Between listed peers (DFDS 5.1x LTM, Viking Line 7.8x) and the 9.8x offer multiple</t>
  </si>
  <si>
    <t xml:space="preserve">WACC build</t>
  </si>
  <si>
    <t xml:space="preserve">Cost of equity</t>
  </si>
  <si>
    <t xml:space="preserve">After-tax cost of debt</t>
  </si>
  <si>
    <t xml:space="preserve">WACC</t>
  </si>
  <si>
    <t xml:space="preserve">DCF – unlevered free cash flow (€m)</t>
  </si>
  <si>
    <t xml:space="preserve">Valuation date 30 June 2026. H2 2026E is a half-year period; mid-period discounting.</t>
  </si>
  <si>
    <t xml:space="preserve">H2 2025A</t>
  </si>
  <si>
    <t xml:space="preserve">H2 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</si>
  <si>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</si>
  <si>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</si>
  <si>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</si>
  <si>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</si>
  <si>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</si>
  <si>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EBITDA</t>
  </si>
  <si>
    <t xml:space="preserve">D&amp;A (tax shield)</t>
  </si>
  <si>
    <t xml:space="preserve">EBIT</t>
  </si>
  <si>
    <t xml:space="preserve">Cash tax</t>
  </si>
  <si>
    <t xml:space="preserve">Capex</t>
  </si>
  <si>
    <t xml:space="preserve">Closing NWC</t>
  </si>
  <si>
    <t xml:space="preserve">Change in NWC (increase = outflow)</t>
  </si>
  <si>
    <t xml:space="preserve">Unlevered FCF</t>
  </si>
  <si>
    <t xml:space="preserve">Discount period (years from valuation date)</t>
  </si>
  <si>
    <t xml:space="preserve">Discount factor</t>
  </si>
  <si>
    <t xml:space="preserve">PV of FCF</t>
  </si>
  <si>
    <t xml:space="preserve">Memo: FY2026E revenue (H1 actual + H2E)</t>
  </si>
  <si>
    <t xml:space="preserve">Memo: FY2026E EBITDA (H1 actual + H2E)</t>
  </si>
  <si>
    <t xml:space="preserve">Memo: opening NWC at 30 Jun 2026</t>
  </si>
  <si>
    <t xml:space="preserve">Valuation – perpetuity growth method</t>
  </si>
  <si>
    <t xml:space="preserve">Sum of PV of FCF (H2 2026–2030)</t>
  </si>
  <si>
    <t xml:space="preserve">Terminal value at end-2030</t>
  </si>
  <si>
    <t xml:space="preserve">Discount period for terminal value (years)</t>
  </si>
  <si>
    <t xml:space="preserve">PV of terminal value</t>
  </si>
  <si>
    <t xml:space="preserve">Enterprise value</t>
  </si>
  <si>
    <t xml:space="preserve">Less: net debt at 30 Jun 2026 (incl. leases)</t>
  </si>
  <si>
    <t xml:space="preserve">Equity value</t>
  </si>
  <si>
    <t xml:space="preserve">Fully diluted shares (m)</t>
  </si>
  <si>
    <t xml:space="preserve">Value per share (€)</t>
  </si>
  <si>
    <t xml:space="preserve">Offer premium / (discount) to DCF value</t>
  </si>
  <si>
    <t xml:space="preserve">PV of terminal value as % of EV</t>
  </si>
  <si>
    <t xml:space="preserve">Implied exit EV/EBITDA (TV / FY2030 EBITDA)</t>
  </si>
  <si>
    <t xml:space="preserve">Implied EV / FY2025 EBITDA</t>
  </si>
  <si>
    <t xml:space="preserve">Cross-check – exit multiple method</t>
  </si>
  <si>
    <t xml:space="preserve">Exit EV/EBITDA multiple</t>
  </si>
  <si>
    <t xml:space="preserve">Offer premium / (discount) to value</t>
  </si>
  <si>
    <t xml:space="preserve">Not included in EV: net pension surplus of €68.3m at 30 Jun 2026 (recoverability uncertain) – potential upside to equity value.</t>
  </si>
  <si>
    <t xml:space="preserve">Value per share (€) – WACC vs terminal growth</t>
  </si>
  <si>
    <t xml:space="preserve">Each cell recomputes EV from the DCF sheet's FCF row with its own WACC and growth rate. Offer = €8.00.</t>
  </si>
  <si>
    <t xml:space="preserve">WACC ↓ / g →</t>
  </si>
  <si>
    <t xml:space="preserve">Value per share (€) – WACC vs exit EV/EBITDA multiple</t>
  </si>
  <si>
    <t xml:space="preserve">WACC ↓ / multiple →</t>
  </si>
  <si>
    <t xml:space="preserve">Offer EV bridge and peer multiples</t>
  </si>
  <si>
    <t xml:space="preserve">Note</t>
  </si>
  <si>
    <t xml:space="preserve">Link</t>
  </si>
  <si>
    <t xml:space="preserve">Shares in issue + outstanding awards</t>
  </si>
  <si>
    <t xml:space="preserve">Equity value at offer</t>
  </si>
  <si>
    <t xml:space="preserve">Offer announcement: ~€1.2bn fully diluted</t>
  </si>
  <si>
    <t xml:space="preserve">Net debt 31 Dec 2025 (incl. leases)</t>
  </si>
  <si>
    <t xml:space="preserve">Offer announcement EV of ~€1.47bn reconciles to Dec-25 net debt</t>
  </si>
  <si>
    <t xml:space="preserve">Enterprise value at offer</t>
  </si>
  <si>
    <t xml:space="preserve">Offer announcement: ~€1.47bn</t>
  </si>
  <si>
    <t xml:space="preserve">EV / FY2025 EBITDA</t>
  </si>
  <si>
    <t xml:space="preserve">Offer announcement: ~9.8x</t>
  </si>
  <si>
    <t xml:space="preserve">Net debt 30 Jun 2026 (incl. leases)</t>
  </si>
  <si>
    <t xml:space="preserve">Latest reported</t>
  </si>
  <si>
    <t xml:space="preserve">EV at offer on Jun-26 net debt</t>
  </si>
  <si>
    <t xml:space="preserve">EV / LTM Jun-26 EBITDA</t>
  </si>
  <si>
    <t xml:space="preserve">LTM EBITDA = FY25 + H1 26 − H1 25</t>
  </si>
  <si>
    <t xml:space="preserve">Premium to pre-offer close (€6.24, 24 Jul 2026)</t>
  </si>
  <si>
    <t xml:space="preserve">Offer announcement: 28.2%</t>
  </si>
  <si>
    <t xml:space="preserve">Listed ferry peer</t>
  </si>
  <si>
    <t xml:space="preserve">EV / EBITDA</t>
  </si>
  <si>
    <t xml:space="preserve">Basis and source</t>
  </si>
  <si>
    <t xml:space="preserve">DFDS (Denmark)</t>
  </si>
  <si>
    <t xml:space="preserve">LTM, multiples.vc, data as of 14 Oct 2026</t>
  </si>
  <si>
    <t xml:space="preserve">Viking Line (Finland)</t>
  </si>
  <si>
    <t xml:space="preserve">Last fiscal year, multiples.vc, data as of 4 Sep 2026</t>
  </si>
  <si>
    <t xml:space="preserve">Peer average</t>
  </si>
  <si>
    <t xml:space="preserve">Offer multiple (FY2025)</t>
  </si>
  <si>
    <t xml:space="preserve">Peers are imperfect: DFDS is far larger and more freight/logistics-heavy; Viking Line is Baltic passenger-focused. ICG's Container &amp; Terminal division (~20% of EBITDA) has some port-infrastructure character, which objecting shareholders argued deserves a higher multiple.</t>
  </si>
  <si>
    <t xml:space="preserve">Sources</t>
  </si>
  <si>
    <t xml:space="preserve">ICG Full Year Results 2025 (preliminary statement, Mar 2026): https://icg.ie/wp-content/uploads/2026/03/Full-Year-Results-2025.pdf</t>
  </si>
  <si>
    <t xml:space="preserve">ICG Half-Yearly Financial Report 2026 (19 Aug 2026): https://icg.ie/wp-content/uploads/2026/08/2026i-ICG-Half-Year-Report-Final-PDF.pdf</t>
  </si>
  <si>
    <t xml:space="preserve">ICG Preliminary Statement 2024 Results (Mar 2025): https://icg.ie/wp-content/uploads/2025/03/Preliminary-Statement-2024-Results-FINAL.pdf</t>
  </si>
  <si>
    <t xml:space="preserve">Rule 2.7 Announcement, Recommended Cash Offer for ICG by Bluefin Bidco (24 Jul 2026): https://www.investegate.co.uk/announcement/gnw/irish-continental-group-units-comp-cdi---icgc/recommended-cash-offer-for-irish-continental-/9687462</t>
  </si>
  <si>
    <t xml:space="preserve">Irish Times, 10 Sep 2026: scheme approved by 79.2% of votes cast</t>
  </si>
  <si>
    <t xml:space="preserve">Irish 10-year yield: https://tradingeconomics.com/ireland/government-bond-yield (16 Oct 2026)</t>
  </si>
  <si>
    <t xml:space="preserve">Peer multiples: https://multiples.vc/public-comps/dfds-valuation-multiples ; https://multiples.vc/public-comps/viking-line-valuation-multiples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</si>
</sst>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0.0%;\(0.0%\);\-"/>
    <numFmt numFmtId="167" formatCode="\€0.00"/>
    <numFmt numFmtId="168" formatCode="0.000"/>
    <numFmt numFmtId="169" formatCode="0.00"/>
    <numFmt numFmtId="170" formatCode="0.0\x"/>
    <numFmt numFmtId="171" formatCode="0.00%"/>
    <numFmt numFmtId="172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4" t="s">
        <v>14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</row>
    <row r="4" customFormat="false" ht="15" hidden="false" customHeight="false" outlineLevel="0" collapsed="false">
      <c r="A4" s="8" t="s">
        <v>23</v>
      </c>
      <c r="B4" s="9" t="n">
        <v>572</v>
      </c>
      <c r="C4" s="9" t="n">
        <v>603.8</v>
      </c>
      <c r="D4" s="9" t="n">
        <v>666.7</v>
      </c>
      <c r="E4" s="9" t="n">
        <v>309.9</v>
      </c>
      <c r="F4" s="9" t="n">
        <v>359.9</v>
      </c>
      <c r="G4" s="10" t="n">
        <f aca="false">D4+F4-E4</f>
        <v>716.7</v>
      </c>
      <c r="H4" s="11" t="s">
        <v>24</v>
      </c>
    </row>
    <row r="5" customFormat="false" ht="15" hidden="false" customHeight="false" outlineLevel="0" collapsed="false">
      <c r="A5" s="12" t="s">
        <v>25</v>
      </c>
      <c r="B5" s="9" t="n">
        <v>412.3</v>
      </c>
      <c r="C5" s="9" t="n">
        <v>433.5</v>
      </c>
      <c r="D5" s="9" t="n">
        <v>465.5</v>
      </c>
      <c r="E5" s="9" t="n">
        <v>206</v>
      </c>
      <c r="F5" s="9" t="n">
        <v>237.9</v>
      </c>
      <c r="G5" s="10" t="n">
        <f aca="false">D5+F5-E5</f>
        <v>497.4</v>
      </c>
      <c r="H5" s="5"/>
    </row>
    <row r="6" customFormat="false" ht="15" hidden="false" customHeight="false" outlineLevel="0" collapsed="false">
      <c r="A6" s="12" t="s">
        <v>26</v>
      </c>
      <c r="B6" s="9" t="n">
        <v>194.1</v>
      </c>
      <c r="C6" s="9" t="n">
        <v>203.5</v>
      </c>
      <c r="D6" s="9" t="n">
        <v>234.6</v>
      </c>
      <c r="E6" s="9" t="n">
        <v>119.3</v>
      </c>
      <c r="F6" s="9" t="n">
        <v>137.5</v>
      </c>
      <c r="G6" s="10" t="n">
        <f aca="false">D6+F6-E6</f>
        <v>252.8</v>
      </c>
      <c r="H6" s="5"/>
    </row>
    <row r="7" customFormat="false" ht="15" hidden="false" customHeight="false" outlineLevel="0" collapsed="false">
      <c r="A7" s="8" t="s">
        <v>27</v>
      </c>
      <c r="B7" s="9" t="n">
        <v>68.4</v>
      </c>
      <c r="C7" s="9" t="n">
        <v>69.1</v>
      </c>
      <c r="D7" s="9" t="n">
        <v>85.6</v>
      </c>
      <c r="E7" s="9" t="n">
        <v>24.6</v>
      </c>
      <c r="F7" s="9" t="n">
        <v>24</v>
      </c>
      <c r="G7" s="10" t="n">
        <f aca="false">D7+F7-E7</f>
        <v>85</v>
      </c>
      <c r="H7" s="5"/>
    </row>
    <row r="8" customFormat="false" ht="15" hidden="false" customHeight="false" outlineLevel="0" collapsed="false">
      <c r="A8" s="8" t="s">
        <v>28</v>
      </c>
      <c r="B8" s="9" t="n">
        <v>64.2</v>
      </c>
      <c r="C8" s="9" t="n">
        <v>64.4</v>
      </c>
      <c r="D8" s="9" t="n">
        <v>65</v>
      </c>
      <c r="E8" s="9" t="n">
        <v>30.3</v>
      </c>
      <c r="F8" s="9" t="n">
        <v>34.9</v>
      </c>
      <c r="G8" s="10" t="n">
        <f aca="false">D8+F8-E8</f>
        <v>69.6</v>
      </c>
      <c r="H8" s="5"/>
    </row>
    <row r="9" customFormat="false" ht="15" hidden="false" customHeight="false" outlineLevel="0" collapsed="false">
      <c r="A9" s="8" t="s">
        <v>29</v>
      </c>
      <c r="B9" s="13" t="n">
        <f aca="false">B7+B8</f>
        <v>132.6</v>
      </c>
      <c r="C9" s="13" t="n">
        <f aca="false">C7+C8</f>
        <v>133.5</v>
      </c>
      <c r="D9" s="13" t="n">
        <f aca="false">D7+D8</f>
        <v>150.6</v>
      </c>
      <c r="E9" s="13" t="n">
        <f aca="false">E7+E8</f>
        <v>54.9</v>
      </c>
      <c r="F9" s="13" t="n">
        <f aca="false">F7+F8</f>
        <v>58.9</v>
      </c>
      <c r="G9" s="10" t="n">
        <f aca="false">D9+F9-E9</f>
        <v>154.6</v>
      </c>
      <c r="H9" s="11" t="s">
        <v>30</v>
      </c>
    </row>
    <row r="10" customFormat="false" ht="15" hidden="false" customHeight="false" outlineLevel="0" collapsed="false">
      <c r="A10" s="12" t="s">
        <v>31</v>
      </c>
      <c r="B10" s="9" t="n">
        <v>106.9</v>
      </c>
      <c r="C10" s="9" t="n">
        <v>109.8</v>
      </c>
      <c r="D10" s="9" t="n">
        <v>120.7</v>
      </c>
      <c r="E10" s="9" t="n">
        <v>40</v>
      </c>
      <c r="F10" s="9" t="n">
        <v>41.9</v>
      </c>
      <c r="G10" s="10" t="n">
        <f aca="false">D10+F10-E10</f>
        <v>122.6</v>
      </c>
      <c r="H10" s="5"/>
    </row>
    <row r="11" customFormat="false" ht="15" hidden="false" customHeight="false" outlineLevel="0" collapsed="false">
      <c r="A11" s="12" t="s">
        <v>32</v>
      </c>
      <c r="B11" s="9" t="n">
        <v>25.7</v>
      </c>
      <c r="C11" s="9" t="n">
        <v>23.7</v>
      </c>
      <c r="D11" s="9" t="n">
        <v>29.9</v>
      </c>
      <c r="E11" s="9" t="n">
        <v>14.9</v>
      </c>
      <c r="F11" s="9" t="n">
        <v>17</v>
      </c>
      <c r="G11" s="10" t="n">
        <f aca="false">D11+F11-E11</f>
        <v>32</v>
      </c>
      <c r="H11" s="5"/>
    </row>
    <row r="12" customFormat="false" ht="15" hidden="false" customHeight="false" outlineLevel="0" collapsed="false">
      <c r="A12" s="8" t="s">
        <v>33</v>
      </c>
      <c r="B12" s="9" t="n">
        <v>106.8</v>
      </c>
      <c r="C12" s="9" t="n">
        <v>109.5</v>
      </c>
      <c r="D12" s="9" t="n">
        <v>110.5</v>
      </c>
      <c r="E12" s="9" t="n">
        <v>54</v>
      </c>
      <c r="F12" s="9" t="n">
        <v>64.2</v>
      </c>
      <c r="G12" s="10" t="n">
        <f aca="false">D12+F12-E12</f>
        <v>120.7</v>
      </c>
      <c r="H12" s="5"/>
    </row>
    <row r="13" customFormat="false" ht="15" hidden="false" customHeight="false" outlineLevel="0" collapsed="false">
      <c r="A13" s="8" t="s">
        <v>34</v>
      </c>
      <c r="B13" s="10"/>
      <c r="C13" s="9" t="n">
        <v>3.6</v>
      </c>
      <c r="D13" s="9" t="n">
        <v>3.8</v>
      </c>
      <c r="E13" s="9" t="n">
        <v>2</v>
      </c>
      <c r="F13" s="9" t="n">
        <v>2.1</v>
      </c>
      <c r="G13" s="10" t="n">
        <f aca="false">D13+F13-E13</f>
        <v>3.9</v>
      </c>
      <c r="H13" s="11" t="s">
        <v>35</v>
      </c>
    </row>
    <row r="14" customFormat="false" ht="15" hidden="false" customHeight="false" outlineLevel="0" collapsed="false">
      <c r="A14" s="8" t="s">
        <v>36</v>
      </c>
      <c r="B14" s="9" t="n">
        <v>18</v>
      </c>
      <c r="C14" s="9" t="n">
        <v>14.6</v>
      </c>
      <c r="D14" s="9" t="n">
        <v>8</v>
      </c>
      <c r="E14" s="9" t="n">
        <v>4</v>
      </c>
      <c r="F14" s="9" t="n">
        <v>6.4</v>
      </c>
      <c r="G14" s="10" t="n">
        <f aca="false">D14+F14-E14</f>
        <v>10.4</v>
      </c>
      <c r="H14" s="5"/>
    </row>
    <row r="15" customFormat="false" ht="15" hidden="false" customHeight="false" outlineLevel="0" collapsed="false">
      <c r="A15" s="8" t="s">
        <v>37</v>
      </c>
      <c r="B15" s="9" t="n">
        <v>41.9</v>
      </c>
      <c r="C15" s="9" t="n">
        <v>29.9</v>
      </c>
      <c r="D15" s="9" t="n">
        <v>102</v>
      </c>
      <c r="E15" s="9" t="n">
        <v>90.2</v>
      </c>
      <c r="F15" s="9" t="n">
        <v>95.2</v>
      </c>
      <c r="G15" s="10" t="n">
        <f aca="false">D15+F15-E15</f>
        <v>107</v>
      </c>
      <c r="H15" s="5"/>
    </row>
    <row r="16" customFormat="false" ht="15" hidden="false" customHeight="false" outlineLevel="0" collapsed="false">
      <c r="A16" s="12" t="s">
        <v>38</v>
      </c>
      <c r="B16" s="9" t="n">
        <v>21.5</v>
      </c>
      <c r="C16" s="9" t="n">
        <v>16.6</v>
      </c>
      <c r="D16" s="9" t="n">
        <v>19.4</v>
      </c>
      <c r="E16" s="10"/>
      <c r="F16" s="10"/>
      <c r="G16" s="5"/>
      <c r="H16" s="11" t="s">
        <v>39</v>
      </c>
    </row>
    <row r="17" customFormat="false" ht="15" hidden="false" customHeight="false" outlineLevel="0" collapsed="false">
      <c r="A17" s="8" t="s">
        <v>40</v>
      </c>
      <c r="B17" s="9" t="n">
        <v>136.7</v>
      </c>
      <c r="C17" s="9" t="n">
        <v>142.5</v>
      </c>
      <c r="D17" s="9" t="n">
        <v>162.2</v>
      </c>
      <c r="E17" s="9" t="n">
        <v>67.7</v>
      </c>
      <c r="F17" s="9" t="n">
        <v>89.3</v>
      </c>
      <c r="G17" s="10" t="n">
        <f aca="false">D17+F17-E17</f>
        <v>183.8</v>
      </c>
      <c r="H17" s="5"/>
    </row>
    <row r="18" customFormat="false" ht="15" hidden="false" customHeight="false" outlineLevel="0" collapsed="false">
      <c r="A18" s="8" t="s">
        <v>41</v>
      </c>
      <c r="B18" s="9" t="n">
        <v>4</v>
      </c>
      <c r="C18" s="9" t="n">
        <v>11.1</v>
      </c>
      <c r="D18" s="9" t="n">
        <v>13.1</v>
      </c>
      <c r="E18" s="9" t="n">
        <v>16.8</v>
      </c>
      <c r="F18" s="9" t="n">
        <v>22.8</v>
      </c>
      <c r="G18" s="10" t="n">
        <f aca="false">F18</f>
        <v>22.8</v>
      </c>
      <c r="H18" s="5"/>
    </row>
    <row r="19" customFormat="false" ht="15" hidden="false" customHeight="false" outlineLevel="0" collapsed="false">
      <c r="A19" s="8" t="s">
        <v>42</v>
      </c>
      <c r="B19" s="9" t="n">
        <v>68.6</v>
      </c>
      <c r="C19" s="9" t="n">
        <v>73.2</v>
      </c>
      <c r="D19" s="9" t="n">
        <v>82.6</v>
      </c>
      <c r="E19" s="9" t="n">
        <v>86.4</v>
      </c>
      <c r="F19" s="9" t="n">
        <v>113.7</v>
      </c>
      <c r="G19" s="10" t="n">
        <f aca="false">F19</f>
        <v>113.7</v>
      </c>
      <c r="H19" s="5"/>
    </row>
    <row r="20" customFormat="false" ht="15" hidden="false" customHeight="false" outlineLevel="0" collapsed="false">
      <c r="A20" s="8" t="s">
        <v>43</v>
      </c>
      <c r="B20" s="9" t="n">
        <v>93.7</v>
      </c>
      <c r="C20" s="9" t="n">
        <v>106.3</v>
      </c>
      <c r="D20" s="9" t="n">
        <v>131</v>
      </c>
      <c r="E20" s="9" t="n">
        <v>135.7</v>
      </c>
      <c r="F20" s="9" t="n">
        <v>185.7</v>
      </c>
      <c r="G20" s="10" t="n">
        <f aca="false">F20</f>
        <v>185.7</v>
      </c>
      <c r="H20" s="5"/>
    </row>
    <row r="21" customFormat="false" ht="15" hidden="false" customHeight="false" outlineLevel="0" collapsed="false">
      <c r="A21" s="8" t="s">
        <v>44</v>
      </c>
      <c r="B21" s="13" t="n">
        <f aca="false">B18+B19-B20</f>
        <v>-21.1</v>
      </c>
      <c r="C21" s="13" t="n">
        <f aca="false">C18+C19-C20</f>
        <v>-22</v>
      </c>
      <c r="D21" s="13" t="n">
        <f aca="false">D18+D19-D20</f>
        <v>-35.3</v>
      </c>
      <c r="E21" s="13" t="n">
        <f aca="false">E18+E19-E20</f>
        <v>-32.5</v>
      </c>
      <c r="F21" s="13" t="n">
        <f aca="false">F18+F19-F20</f>
        <v>-49.2</v>
      </c>
      <c r="G21" s="10" t="n">
        <f aca="false">F21</f>
        <v>-49.2</v>
      </c>
      <c r="H21" s="11" t="s">
        <v>45</v>
      </c>
    </row>
    <row r="22" customFormat="false" ht="15" hidden="false" customHeight="false" outlineLevel="0" collapsed="false">
      <c r="A22" s="8" t="s">
        <v>46</v>
      </c>
      <c r="B22" s="9" t="n">
        <v>46.8</v>
      </c>
      <c r="C22" s="9" t="n">
        <v>41.3</v>
      </c>
      <c r="D22" s="9" t="n">
        <v>36.7</v>
      </c>
      <c r="E22" s="9" t="n">
        <v>17.8</v>
      </c>
      <c r="F22" s="9" t="n">
        <v>36.8</v>
      </c>
      <c r="G22" s="10" t="n">
        <f aca="false">F22</f>
        <v>36.8</v>
      </c>
      <c r="H22" s="5"/>
    </row>
    <row r="23" customFormat="false" ht="15" hidden="false" customHeight="false" outlineLevel="0" collapsed="false">
      <c r="A23" s="8" t="s">
        <v>47</v>
      </c>
      <c r="B23" s="10"/>
      <c r="C23" s="9" t="n">
        <v>97.3</v>
      </c>
      <c r="D23" s="9" t="n">
        <v>171.3</v>
      </c>
      <c r="E23" s="9" t="n">
        <v>140</v>
      </c>
      <c r="F23" s="9" t="n">
        <v>215</v>
      </c>
      <c r="G23" s="10" t="n">
        <f aca="false">F23</f>
        <v>215</v>
      </c>
      <c r="H23" s="11" t="s">
        <v>48</v>
      </c>
    </row>
    <row r="24" customFormat="false" ht="15" hidden="false" customHeight="false" outlineLevel="0" collapsed="false">
      <c r="A24" s="8" t="s">
        <v>49</v>
      </c>
      <c r="B24" s="9" t="n">
        <v>37</v>
      </c>
      <c r="C24" s="9" t="n">
        <v>107.1</v>
      </c>
      <c r="D24" s="9" t="n">
        <v>122.6</v>
      </c>
      <c r="E24" s="9" t="n">
        <v>103</v>
      </c>
      <c r="F24" s="9" t="n">
        <v>49.7</v>
      </c>
      <c r="G24" s="10" t="n">
        <f aca="false">F24</f>
        <v>49.7</v>
      </c>
      <c r="H24" s="5"/>
    </row>
    <row r="25" customFormat="false" ht="15" hidden="false" customHeight="false" outlineLevel="0" collapsed="false">
      <c r="A25" s="8" t="s">
        <v>50</v>
      </c>
      <c r="B25" s="9" t="n">
        <v>143.7</v>
      </c>
      <c r="C25" s="9" t="n">
        <v>162.2</v>
      </c>
      <c r="D25" s="9" t="n">
        <v>256.1</v>
      </c>
      <c r="E25" s="9" t="n">
        <v>224.1</v>
      </c>
      <c r="F25" s="9" t="n">
        <v>226.2</v>
      </c>
      <c r="G25" s="10" t="n">
        <f aca="false">F25</f>
        <v>226.2</v>
      </c>
      <c r="H25" s="11" t="s">
        <v>51</v>
      </c>
    </row>
    <row r="26" customFormat="false" ht="15" hidden="false" customHeight="false" outlineLevel="0" collapsed="false">
      <c r="A26" s="8" t="s">
        <v>52</v>
      </c>
      <c r="B26" s="9" t="n">
        <v>38.9</v>
      </c>
      <c r="C26" s="9" t="n">
        <v>51.8</v>
      </c>
      <c r="D26" s="9" t="n">
        <v>63.3</v>
      </c>
      <c r="E26" s="9" t="n">
        <v>55.6</v>
      </c>
      <c r="F26" s="9" t="n">
        <v>68.3</v>
      </c>
      <c r="G26" s="10" t="n">
        <f aca="false">F26</f>
        <v>68.3</v>
      </c>
      <c r="H26" s="5"/>
    </row>
    <row r="27" customFormat="false" ht="15" hidden="false" customHeight="false" outlineLevel="0" collapsed="false">
      <c r="A27" s="8" t="s">
        <v>53</v>
      </c>
      <c r="B27" s="9" t="n">
        <v>645.7</v>
      </c>
      <c r="C27" s="9" t="n">
        <v>707.3</v>
      </c>
      <c r="D27" s="9" t="n">
        <v>679.7</v>
      </c>
      <c r="E27" s="9" t="n">
        <v>264.9</v>
      </c>
      <c r="F27" s="9" t="n">
        <v>249.7</v>
      </c>
      <c r="G27" s="10" t="n">
        <f aca="false">D27+F27-E27</f>
        <v>664.5</v>
      </c>
      <c r="H27" s="11" t="s">
        <v>54</v>
      </c>
    </row>
    <row r="28" customFormat="false" ht="15" hidden="false" customHeight="false" outlineLevel="0" collapsed="false">
      <c r="A28" s="8" t="s">
        <v>55</v>
      </c>
      <c r="B28" s="9" t="n">
        <v>724</v>
      </c>
      <c r="C28" s="9" t="n">
        <v>767.2</v>
      </c>
      <c r="D28" s="9" t="n">
        <v>816.7</v>
      </c>
      <c r="E28" s="9" t="n">
        <v>393.3</v>
      </c>
      <c r="F28" s="9" t="n">
        <v>409.5</v>
      </c>
      <c r="G28" s="10" t="n">
        <f aca="false">D28+F28-E28</f>
        <v>832.9</v>
      </c>
      <c r="H28" s="5"/>
    </row>
    <row r="29" customFormat="false" ht="15" hidden="false" customHeight="false" outlineLevel="0" collapsed="false">
      <c r="A29" s="8" t="s">
        <v>56</v>
      </c>
      <c r="B29" s="9" t="n">
        <v>275.5</v>
      </c>
      <c r="C29" s="9" t="n">
        <v>317.8</v>
      </c>
      <c r="D29" s="9" t="n">
        <v>370</v>
      </c>
      <c r="E29" s="9" t="n">
        <v>192.9</v>
      </c>
      <c r="F29" s="9" t="n">
        <v>195.1</v>
      </c>
      <c r="G29" s="10" t="n">
        <f aca="false">D29+F29-E29</f>
        <v>372.2</v>
      </c>
      <c r="H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8" t="s">
        <v>57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12" t="s">
        <v>58</v>
      </c>
      <c r="B32" s="14" t="n">
        <f aca="false">IFERROR(B9/B4,0)</f>
        <v>0.231818181818182</v>
      </c>
      <c r="C32" s="14" t="n">
        <f aca="false">IFERROR(C9/C4,0)</f>
        <v>0.221099701888042</v>
      </c>
      <c r="D32" s="14" t="n">
        <f aca="false">IFERROR(D9/D4,0)</f>
        <v>0.225888705564722</v>
      </c>
      <c r="E32" s="14" t="n">
        <f aca="false">IFERROR(E9/E4,0)</f>
        <v>0.177153920619555</v>
      </c>
      <c r="F32" s="14" t="n">
        <f aca="false">IFERROR(F9/F4,0)</f>
        <v>0.163656571269797</v>
      </c>
      <c r="G32" s="14" t="n">
        <f aca="false">IFERROR(G9/G4,0)</f>
        <v>0.215710897167574</v>
      </c>
      <c r="H32" s="5"/>
    </row>
    <row r="33" customFormat="false" ht="15" hidden="false" customHeight="false" outlineLevel="0" collapsed="false">
      <c r="A33" s="12" t="s">
        <v>59</v>
      </c>
      <c r="B33" s="14" t="n">
        <f aca="false">IFERROR(B12/B4,0)</f>
        <v>0.186713286713287</v>
      </c>
      <c r="C33" s="14" t="n">
        <f aca="false">IFERROR(C12/C4,0)</f>
        <v>0.181351440874462</v>
      </c>
      <c r="D33" s="14" t="n">
        <f aca="false">IFERROR(D12/D4,0)</f>
        <v>0.165741712914354</v>
      </c>
      <c r="E33" s="14" t="n">
        <f aca="false">IFERROR(E12/E4,0)</f>
        <v>0.174249757986447</v>
      </c>
      <c r="F33" s="14" t="n">
        <f aca="false">IFERROR(F12/F4,0)</f>
        <v>0.178382884134482</v>
      </c>
      <c r="G33" s="14" t="n">
        <f aca="false">IFERROR(G12/G4,0)</f>
        <v>0.168410771592019</v>
      </c>
      <c r="H33" s="5"/>
    </row>
    <row r="34" customFormat="false" ht="15" hidden="false" customHeight="false" outlineLevel="0" collapsed="false">
      <c r="A34" s="12" t="s">
        <v>60</v>
      </c>
      <c r="B34" s="14" t="n">
        <f aca="false">IFERROR(B15/B4,0)</f>
        <v>0.0732517482517483</v>
      </c>
      <c r="C34" s="14" t="n">
        <f aca="false">IFERROR(C15/C4,0)</f>
        <v>0.0495197085127526</v>
      </c>
      <c r="D34" s="14" t="n">
        <f aca="false">IFERROR(D15/D4,0)</f>
        <v>0.152992350382481</v>
      </c>
      <c r="E34" s="14" t="n">
        <f aca="false">IFERROR(E15/E4,0)</f>
        <v>0.291061632784769</v>
      </c>
      <c r="F34" s="14" t="n">
        <f aca="false">IFERROR(F15/F4,0)</f>
        <v>0.264517921644901</v>
      </c>
      <c r="G34" s="14" t="n">
        <f aca="false">IFERROR(G15/G4,0)</f>
        <v>0.149295381610158</v>
      </c>
      <c r="H34" s="5"/>
    </row>
    <row r="35" customFormat="false" ht="15" hidden="false" customHeight="false" outlineLevel="0" collapsed="false">
      <c r="A35" s="12" t="s">
        <v>61</v>
      </c>
      <c r="B35" s="14" t="n">
        <f aca="false">IFERROR(B21/B4,0)</f>
        <v>-0.0368881118881119</v>
      </c>
      <c r="C35" s="14" t="n">
        <f aca="false">IFERROR(C21/C4,0)</f>
        <v>-0.0364359059291156</v>
      </c>
      <c r="D35" s="14" t="n">
        <f aca="false">IFERROR(D21/D4,0)</f>
        <v>-0.0529473526323684</v>
      </c>
      <c r="E35" s="5"/>
      <c r="F35" s="5"/>
      <c r="G35" s="14" t="n">
        <f aca="false">IFERROR(G21/G4,0)</f>
        <v>-0.0686479698618669</v>
      </c>
      <c r="H35" s="5"/>
    </row>
    <row r="36" customFormat="false" ht="15" hidden="false" customHeight="false" outlineLevel="0" collapsed="false">
      <c r="A36" s="12" t="s">
        <v>62</v>
      </c>
      <c r="B36" s="14" t="n">
        <f aca="false">IFERROR(B17/B9,0)</f>
        <v>1.03092006033182</v>
      </c>
      <c r="C36" s="14" t="n">
        <f aca="false">IFERROR(C17/C9,0)</f>
        <v>1.06741573033708</v>
      </c>
      <c r="D36" s="14" t="n">
        <f aca="false">IFERROR(D17/D9,0)</f>
        <v>1.07702523240372</v>
      </c>
      <c r="E36" s="14" t="n">
        <f aca="false">IFERROR(E17/E9,0)</f>
        <v>1.23315118397086</v>
      </c>
      <c r="F36" s="14" t="n">
        <f aca="false">IFERROR(F17/F9,0)</f>
        <v>1.51612903225806</v>
      </c>
      <c r="G36" s="14" t="n">
        <f aca="false">IFERROR(G17/G9,0)</f>
        <v>1.1888745148771</v>
      </c>
      <c r="H3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4" t="s">
        <v>63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6" t="s">
        <v>64</v>
      </c>
      <c r="B3" s="7" t="s">
        <v>65</v>
      </c>
      <c r="C3" s="7" t="s">
        <v>66</v>
      </c>
    </row>
    <row r="4" customFormat="false" ht="15" hidden="false" customHeight="false" outlineLevel="0" collapsed="false">
      <c r="A4" s="12" t="s">
        <v>67</v>
      </c>
      <c r="B4" s="15" t="s">
        <v>68</v>
      </c>
      <c r="C4" s="11" t="s">
        <v>69</v>
      </c>
    </row>
    <row r="5" customFormat="false" ht="15" hidden="false" customHeight="false" outlineLevel="0" collapsed="false">
      <c r="A5" s="12" t="s">
        <v>70</v>
      </c>
      <c r="B5" s="16" t="n">
        <v>8</v>
      </c>
      <c r="C5" s="11" t="s">
        <v>71</v>
      </c>
    </row>
    <row r="6" customFormat="false" ht="15" hidden="false" customHeight="false" outlineLevel="0" collapsed="false">
      <c r="A6" s="12" t="s">
        <v>72</v>
      </c>
      <c r="B6" s="17" t="n">
        <v>148.466858</v>
      </c>
      <c r="C6" s="11" t="s">
        <v>73</v>
      </c>
    </row>
    <row r="7" customFormat="false" ht="15" hidden="false" customHeight="false" outlineLevel="0" collapsed="false">
      <c r="A7" s="12" t="s">
        <v>74</v>
      </c>
      <c r="B7" s="17" t="n">
        <v>3.503061</v>
      </c>
      <c r="C7" s="11" t="s">
        <v>75</v>
      </c>
    </row>
    <row r="8" customFormat="false" ht="15" hidden="false" customHeight="false" outlineLevel="0" collapsed="false">
      <c r="A8" s="12" t="s">
        <v>76</v>
      </c>
      <c r="B8" s="18" t="n">
        <f aca="false">Historicals!F25</f>
        <v>226.2</v>
      </c>
      <c r="C8" s="11" t="s">
        <v>77</v>
      </c>
    </row>
    <row r="9" customFormat="false" ht="15" hidden="false" customHeight="false" outlineLevel="0" collapsed="false">
      <c r="A9" s="12" t="s">
        <v>78</v>
      </c>
      <c r="B9" s="19" t="n">
        <v>0</v>
      </c>
      <c r="C9" s="11" t="s">
        <v>79</v>
      </c>
    </row>
    <row r="10" customFormat="false" ht="15" hidden="false" customHeight="false" outlineLevel="0" collapsed="false">
      <c r="A10" s="12" t="s">
        <v>80</v>
      </c>
      <c r="B10" s="20" t="n">
        <v>-0.08</v>
      </c>
      <c r="C10" s="11" t="s">
        <v>81</v>
      </c>
    </row>
    <row r="11" customFormat="false" ht="15" hidden="false" customHeight="false" outlineLevel="0" collapsed="false">
      <c r="A11" s="12" t="s">
        <v>82</v>
      </c>
      <c r="B11" s="20" t="n">
        <v>0.03</v>
      </c>
      <c r="C11" s="11" t="s">
        <v>83</v>
      </c>
    </row>
    <row r="12" customFormat="false" ht="15" hidden="false" customHeight="false" outlineLevel="0" collapsed="false">
      <c r="A12" s="12" t="s">
        <v>84</v>
      </c>
      <c r="B12" s="20" t="n">
        <v>0.215</v>
      </c>
      <c r="C12" s="11" t="s">
        <v>85</v>
      </c>
    </row>
    <row r="13" customFormat="false" ht="15" hidden="false" customHeight="false" outlineLevel="0" collapsed="false">
      <c r="A13" s="12" t="s">
        <v>86</v>
      </c>
      <c r="B13" s="20" t="n">
        <v>0.22</v>
      </c>
      <c r="C13" s="11" t="s">
        <v>87</v>
      </c>
    </row>
    <row r="14" customFormat="false" ht="15" hidden="false" customHeight="false" outlineLevel="0" collapsed="false">
      <c r="A14" s="12" t="s">
        <v>88</v>
      </c>
      <c r="B14" s="19" t="n">
        <v>0.0975</v>
      </c>
      <c r="C14" s="11" t="s">
        <v>89</v>
      </c>
    </row>
    <row r="15" customFormat="false" ht="15" hidden="false" customHeight="false" outlineLevel="0" collapsed="false">
      <c r="A15" s="12" t="s">
        <v>90</v>
      </c>
      <c r="B15" s="9" t="n">
        <v>15</v>
      </c>
      <c r="C15" s="11" t="s">
        <v>91</v>
      </c>
    </row>
    <row r="16" customFormat="false" ht="15" hidden="false" customHeight="false" outlineLevel="0" collapsed="false">
      <c r="A16" s="12" t="s">
        <v>92</v>
      </c>
      <c r="B16" s="20" t="n">
        <v>0.075</v>
      </c>
      <c r="C16" s="11" t="s">
        <v>93</v>
      </c>
    </row>
    <row r="17" customFormat="false" ht="15" hidden="false" customHeight="false" outlineLevel="0" collapsed="false">
      <c r="A17" s="12" t="s">
        <v>94</v>
      </c>
      <c r="B17" s="19" t="n">
        <v>0.035</v>
      </c>
      <c r="C17" s="11" t="s">
        <v>95</v>
      </c>
    </row>
    <row r="18" customFormat="false" ht="15" hidden="false" customHeight="false" outlineLevel="0" collapsed="false">
      <c r="A18" s="12" t="s">
        <v>96</v>
      </c>
      <c r="B18" s="19" t="n">
        <v>-0.045</v>
      </c>
      <c r="C18" s="11" t="s">
        <v>97</v>
      </c>
    </row>
    <row r="19" customFormat="false" ht="15" hidden="false" customHeight="false" outlineLevel="0" collapsed="false">
      <c r="A19" s="12" t="s">
        <v>98</v>
      </c>
      <c r="B19" s="19" t="n">
        <v>0.0359</v>
      </c>
      <c r="C19" s="11" t="s">
        <v>99</v>
      </c>
    </row>
    <row r="20" customFormat="false" ht="15" hidden="false" customHeight="false" outlineLevel="0" collapsed="false">
      <c r="A20" s="12" t="s">
        <v>100</v>
      </c>
      <c r="B20" s="19" t="n">
        <v>0.055</v>
      </c>
      <c r="C20" s="11" t="s">
        <v>101</v>
      </c>
    </row>
    <row r="21" customFormat="false" ht="15" hidden="false" customHeight="false" outlineLevel="0" collapsed="false">
      <c r="A21" s="12" t="s">
        <v>102</v>
      </c>
      <c r="B21" s="21" t="n">
        <v>1</v>
      </c>
      <c r="C21" s="11" t="s">
        <v>103</v>
      </c>
    </row>
    <row r="22" customFormat="false" ht="15" hidden="false" customHeight="false" outlineLevel="0" collapsed="false">
      <c r="A22" s="12" t="s">
        <v>104</v>
      </c>
      <c r="B22" s="19" t="n">
        <v>0.005</v>
      </c>
      <c r="C22" s="11" t="s">
        <v>105</v>
      </c>
    </row>
    <row r="23" customFormat="false" ht="15" hidden="false" customHeight="false" outlineLevel="0" collapsed="false">
      <c r="A23" s="12" t="s">
        <v>106</v>
      </c>
      <c r="B23" s="19" t="n">
        <v>0.045</v>
      </c>
      <c r="C23" s="11" t="s">
        <v>107</v>
      </c>
    </row>
    <row r="24" customFormat="false" ht="15" hidden="false" customHeight="false" outlineLevel="0" collapsed="false">
      <c r="A24" s="12" t="s">
        <v>108</v>
      </c>
      <c r="B24" s="19" t="n">
        <v>0.2</v>
      </c>
      <c r="C24" s="11" t="s">
        <v>109</v>
      </c>
    </row>
    <row r="25" customFormat="false" ht="15" hidden="false" customHeight="false" outlineLevel="0" collapsed="false">
      <c r="A25" s="12" t="s">
        <v>110</v>
      </c>
      <c r="B25" s="20" t="n">
        <v>0.02</v>
      </c>
      <c r="C25" s="11" t="s">
        <v>111</v>
      </c>
    </row>
    <row r="26" customFormat="false" ht="15" hidden="false" customHeight="false" outlineLevel="0" collapsed="false">
      <c r="A26" s="12" t="s">
        <v>112</v>
      </c>
      <c r="B26" s="22" t="n">
        <v>8</v>
      </c>
      <c r="C26" s="11" t="s">
        <v>113</v>
      </c>
    </row>
    <row r="27" customFormat="false" ht="15" hidden="false" customHeight="false" outlineLevel="0" collapsed="false">
      <c r="A27" s="5"/>
      <c r="B27" s="5"/>
      <c r="C27" s="5"/>
    </row>
    <row r="28" customFormat="false" ht="15" hidden="false" customHeight="false" outlineLevel="0" collapsed="false">
      <c r="A28" s="8" t="s">
        <v>114</v>
      </c>
      <c r="B28" s="5"/>
      <c r="C28" s="5"/>
    </row>
    <row r="29" customFormat="false" ht="15" hidden="false" customHeight="false" outlineLevel="0" collapsed="false">
      <c r="A29" s="12" t="s">
        <v>115</v>
      </c>
      <c r="B29" s="23" t="n">
        <f aca="false">Assumptions!$B$19+Assumptions!$B$21*Assumptions!$B$20+Assumptions!$B$22</f>
        <v>0.0959</v>
      </c>
      <c r="C29" s="5"/>
    </row>
    <row r="30" customFormat="false" ht="15" hidden="false" customHeight="false" outlineLevel="0" collapsed="false">
      <c r="A30" s="12" t="s">
        <v>116</v>
      </c>
      <c r="B30" s="23" t="n">
        <f aca="false">Assumptions!$B$23*(1-Assumptions!$B$17)</f>
        <v>0.043425</v>
      </c>
      <c r="C30" s="5"/>
    </row>
    <row r="31" customFormat="false" ht="15" hidden="false" customHeight="false" outlineLevel="0" collapsed="false">
      <c r="A31" s="8" t="s">
        <v>117</v>
      </c>
      <c r="B31" s="24" t="n">
        <f aca="false">(1-Assumptions!$B$24)*Assumptions!$B$29+Assumptions!$B$24*Assumptions!$B$30</f>
        <v>0.085405</v>
      </c>
      <c r="C3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4" t="s">
        <v>118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25" t="s">
        <v>119</v>
      </c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6" t="s">
        <v>15</v>
      </c>
      <c r="B4" s="7" t="s">
        <v>120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125</v>
      </c>
    </row>
    <row r="5" customFormat="false" ht="15" hidden="false" customHeight="false" outlineLevel="0" collapsed="false">
      <c r="A5" s="8" t="s">
        <v>23</v>
      </c>
      <c r="B5" s="18" t="n">
        <f aca="false">Historicals!D4-Historicals!E4</f>
        <v>356.8</v>
      </c>
      <c r="C5" s="10" t="n">
        <f aca="false">B5*(1+Assumptions!$B$9)</f>
        <v>356.8</v>
      </c>
      <c r="D5" s="10" t="n">
        <f aca="false">C22*(1+Assumptions!$B$11)</f>
        <v>738.201</v>
      </c>
      <c r="E5" s="10" t="n">
        <f aca="false">D5*(1+Assumptions!$B$11)</f>
        <v>760.34703</v>
      </c>
      <c r="F5" s="10" t="n">
        <f aca="false">E5*(1+Assumptions!$B$11)</f>
        <v>783.1574409</v>
      </c>
      <c r="G5" s="10" t="n">
        <f aca="false">F5*(1+Assumptions!$B$11)</f>
        <v>806.652164127</v>
      </c>
    </row>
    <row r="6" customFormat="false" ht="15" hidden="false" customHeight="false" outlineLevel="0" collapsed="false">
      <c r="A6" s="12" t="s">
        <v>126</v>
      </c>
      <c r="B6" s="14"/>
      <c r="C6" s="14" t="n">
        <f aca="false">C5/B5-1</f>
        <v>0</v>
      </c>
      <c r="D6" s="14" t="n">
        <f aca="false">D5/C22-1</f>
        <v>0.03</v>
      </c>
      <c r="E6" s="14" t="n">
        <f aca="false">E5/D5-1</f>
        <v>0.03</v>
      </c>
      <c r="F6" s="14" t="n">
        <f aca="false">F5/E5-1</f>
        <v>0.03</v>
      </c>
      <c r="G6" s="14" t="n">
        <f aca="false">G5/F5-1</f>
        <v>0.03</v>
      </c>
    </row>
    <row r="7" customFormat="false" ht="15" hidden="false" customHeight="false" outlineLevel="0" collapsed="false">
      <c r="A7" s="8" t="s">
        <v>127</v>
      </c>
      <c r="B7" s="18" t="n">
        <f aca="false">Historicals!D9-Historicals!E9</f>
        <v>95.7</v>
      </c>
      <c r="C7" s="10" t="n">
        <f aca="false">B7*(1+Assumptions!$B$10)</f>
        <v>88.044</v>
      </c>
      <c r="D7" s="10" t="n">
        <f aca="false">D5*Assumptions!$B$12</f>
        <v>158.713215</v>
      </c>
      <c r="E7" s="10" t="n">
        <f aca="false">E5*Assumptions!$B$13</f>
        <v>167.2763466</v>
      </c>
      <c r="F7" s="10" t="n">
        <f aca="false">F5*Assumptions!$B$13</f>
        <v>172.294636998</v>
      </c>
      <c r="G7" s="10" t="n">
        <f aca="false">G5*Assumptions!$B$13</f>
        <v>177.46347610794</v>
      </c>
    </row>
    <row r="8" customFormat="false" ht="15" hidden="false" customHeight="false" outlineLevel="0" collapsed="false">
      <c r="A8" s="12" t="s">
        <v>58</v>
      </c>
      <c r="B8" s="14" t="n">
        <f aca="false">B7/B5</f>
        <v>0.268217488789238</v>
      </c>
      <c r="C8" s="14" t="n">
        <f aca="false">C7/C5</f>
        <v>0.246760089686099</v>
      </c>
      <c r="D8" s="14" t="n">
        <f aca="false">D7/D5</f>
        <v>0.215</v>
      </c>
      <c r="E8" s="14" t="n">
        <f aca="false">E7/E5</f>
        <v>0.22</v>
      </c>
      <c r="F8" s="14" t="n">
        <f aca="false">F7/F5</f>
        <v>0.22</v>
      </c>
      <c r="G8" s="14" t="n">
        <f aca="false">G7/G5</f>
        <v>0.22</v>
      </c>
    </row>
    <row r="9" customFormat="false" ht="15" hidden="false" customHeight="false" outlineLevel="0" collapsed="false">
      <c r="A9" s="12" t="s">
        <v>128</v>
      </c>
      <c r="B9" s="10"/>
      <c r="C9" s="10" t="n">
        <f aca="false">-C5*Assumptions!$B$14</f>
        <v>-34.788</v>
      </c>
      <c r="D9" s="10" t="n">
        <f aca="false">-D5*Assumptions!$B$14</f>
        <v>-71.9745975</v>
      </c>
      <c r="E9" s="10" t="n">
        <f aca="false">-E5*Assumptions!$B$14</f>
        <v>-74.133835425</v>
      </c>
      <c r="F9" s="10" t="n">
        <f aca="false">-F5*Assumptions!$B$14</f>
        <v>-76.35785048775</v>
      </c>
      <c r="G9" s="10" t="n">
        <f aca="false">-G5*Assumptions!$B$14</f>
        <v>-78.6485860023825</v>
      </c>
    </row>
    <row r="10" customFormat="false" ht="15" hidden="false" customHeight="false" outlineLevel="0" collapsed="false">
      <c r="A10" s="12" t="s">
        <v>129</v>
      </c>
      <c r="B10" s="10"/>
      <c r="C10" s="10" t="n">
        <f aca="false">C7+C9</f>
        <v>53.256</v>
      </c>
      <c r="D10" s="10" t="n">
        <f aca="false">D7+D9</f>
        <v>86.7386175</v>
      </c>
      <c r="E10" s="10" t="n">
        <f aca="false">E7+E9</f>
        <v>93.142511175</v>
      </c>
      <c r="F10" s="10" t="n">
        <f aca="false">F7+F9</f>
        <v>95.93678651025</v>
      </c>
      <c r="G10" s="10" t="n">
        <f aca="false">G7+G9</f>
        <v>98.8148901055575</v>
      </c>
    </row>
    <row r="11" customFormat="false" ht="15" hidden="false" customHeight="false" outlineLevel="0" collapsed="false">
      <c r="A11" s="12" t="s">
        <v>130</v>
      </c>
      <c r="B11" s="10"/>
      <c r="C11" s="10" t="n">
        <f aca="false">-MAX(0,C10)*Assumptions!$B$17</f>
        <v>-1.86396</v>
      </c>
      <c r="D11" s="10" t="n">
        <f aca="false">-MAX(0,D10)*Assumptions!$B$17</f>
        <v>-3.0358516125</v>
      </c>
      <c r="E11" s="10" t="n">
        <f aca="false">-MAX(0,E10)*Assumptions!$B$17</f>
        <v>-3.259987891125</v>
      </c>
      <c r="F11" s="10" t="n">
        <f aca="false">-MAX(0,F10)*Assumptions!$B$17</f>
        <v>-3.35778752785875</v>
      </c>
      <c r="G11" s="10" t="n">
        <f aca="false">-MAX(0,G10)*Assumptions!$B$17</f>
        <v>-3.45852115369451</v>
      </c>
    </row>
    <row r="12" customFormat="false" ht="15" hidden="false" customHeight="false" outlineLevel="0" collapsed="false">
      <c r="A12" s="12" t="s">
        <v>131</v>
      </c>
      <c r="B12" s="10"/>
      <c r="C12" s="10" t="n">
        <f aca="false">-Assumptions!$B$15</f>
        <v>-15</v>
      </c>
      <c r="D12" s="10" t="n">
        <f aca="false">-D5*Assumptions!$B$16</f>
        <v>-55.365075</v>
      </c>
      <c r="E12" s="10" t="n">
        <f aca="false">-E5*Assumptions!$B$16</f>
        <v>-57.02602725</v>
      </c>
      <c r="F12" s="10" t="n">
        <f aca="false">-F5*Assumptions!$B$16</f>
        <v>-58.7368080675</v>
      </c>
      <c r="G12" s="10" t="n">
        <f aca="false">-G5*Assumptions!$B$16</f>
        <v>-60.498912309525</v>
      </c>
    </row>
    <row r="13" customFormat="false" ht="15" hidden="false" customHeight="false" outlineLevel="0" collapsed="false">
      <c r="A13" s="12" t="s">
        <v>132</v>
      </c>
      <c r="B13" s="18" t="n">
        <f aca="false">Historicals!D21</f>
        <v>-35.3</v>
      </c>
      <c r="C13" s="10" t="n">
        <f aca="false">C22*Assumptions!$B$18</f>
        <v>-32.2515</v>
      </c>
      <c r="D13" s="10" t="n">
        <f aca="false">D5*Assumptions!$B$18</f>
        <v>-33.219045</v>
      </c>
      <c r="E13" s="10" t="n">
        <f aca="false">E5*Assumptions!$B$18</f>
        <v>-34.21561635</v>
      </c>
      <c r="F13" s="10" t="n">
        <f aca="false">F5*Assumptions!$B$18</f>
        <v>-35.2420848405</v>
      </c>
      <c r="G13" s="10" t="n">
        <f aca="false">G5*Assumptions!$B$18</f>
        <v>-36.299347385715</v>
      </c>
    </row>
    <row r="14" customFormat="false" ht="15" hidden="false" customHeight="false" outlineLevel="0" collapsed="false">
      <c r="A14" s="12" t="s">
        <v>133</v>
      </c>
      <c r="B14" s="10"/>
      <c r="C14" s="10" t="n">
        <f aca="false">-(C13-C24)</f>
        <v>-16.9485</v>
      </c>
      <c r="D14" s="10" t="n">
        <f aca="false">-(D13-C13)</f>
        <v>0.967545000000001</v>
      </c>
      <c r="E14" s="10" t="n">
        <f aca="false">-(E13-D13)</f>
        <v>0.996571349999996</v>
      </c>
      <c r="F14" s="10" t="n">
        <f aca="false">-(F13-E13)</f>
        <v>1.0264684905</v>
      </c>
      <c r="G14" s="10" t="n">
        <f aca="false">-(G13-F13)</f>
        <v>1.057262545215</v>
      </c>
    </row>
    <row r="15" customFormat="false" ht="15" hidden="false" customHeight="false" outlineLevel="0" collapsed="false">
      <c r="A15" s="8" t="s">
        <v>134</v>
      </c>
      <c r="B15" s="26"/>
      <c r="C15" s="26" t="n">
        <f aca="false">C7+C11+C12+C14</f>
        <v>54.23154</v>
      </c>
      <c r="D15" s="26" t="n">
        <f aca="false">D7+D11+D12+D14</f>
        <v>101.2798333875</v>
      </c>
      <c r="E15" s="26" t="n">
        <f aca="false">E7+E11+E12+E14</f>
        <v>107.986902808875</v>
      </c>
      <c r="F15" s="26" t="n">
        <f aca="false">F7+F11+F12+F14</f>
        <v>111.226509893141</v>
      </c>
      <c r="G15" s="26" t="n">
        <f aca="false">G7+G11+G12+G14</f>
        <v>114.563305189936</v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12" t="s">
        <v>135</v>
      </c>
      <c r="B17" s="27"/>
      <c r="C17" s="28" t="n">
        <v>0.25</v>
      </c>
      <c r="D17" s="27" t="n">
        <f aca="false">C17+0.75</f>
        <v>1</v>
      </c>
      <c r="E17" s="27" t="n">
        <f aca="false">D17+1</f>
        <v>2</v>
      </c>
      <c r="F17" s="27" t="n">
        <f aca="false">E17+1</f>
        <v>3</v>
      </c>
      <c r="G17" s="27" t="n">
        <f aca="false">F17+1</f>
        <v>4</v>
      </c>
    </row>
    <row r="18" customFormat="false" ht="15" hidden="false" customHeight="false" outlineLevel="0" collapsed="false">
      <c r="A18" s="12" t="s">
        <v>136</v>
      </c>
      <c r="B18" s="29"/>
      <c r="C18" s="29" t="n">
        <f aca="false">1/(1+Assumptions!$B$31)^C17</f>
        <v>0.979720161770435</v>
      </c>
      <c r="D18" s="29" t="n">
        <f aca="false">1/(1+Assumptions!$B$31)^D17</f>
        <v>0.921315085152547</v>
      </c>
      <c r="E18" s="29" t="n">
        <f aca="false">1/(1+Assumptions!$B$31)^E17</f>
        <v>0.848821486129645</v>
      </c>
      <c r="F18" s="29" t="n">
        <f aca="false">1/(1+Assumptions!$B$31)^F17</f>
        <v>0.782032039772845</v>
      </c>
      <c r="G18" s="29" t="n">
        <f aca="false">1/(1+Assumptions!$B$31)^G17</f>
        <v>0.720497915315338</v>
      </c>
    </row>
    <row r="19" customFormat="false" ht="15" hidden="false" customHeight="false" outlineLevel="0" collapsed="false">
      <c r="A19" s="8" t="s">
        <v>137</v>
      </c>
      <c r="B19" s="10"/>
      <c r="C19" s="10" t="n">
        <f aca="false">C15*C18</f>
        <v>53.1317331418598</v>
      </c>
      <c r="D19" s="10" t="n">
        <f aca="false">D15*D18</f>
        <v>93.3106383216403</v>
      </c>
      <c r="E19" s="10" t="n">
        <f aca="false">E15*E18</f>
        <v>91.6616033247668</v>
      </c>
      <c r="F19" s="10" t="n">
        <f aca="false">F15*F18</f>
        <v>86.9826944085477</v>
      </c>
      <c r="G19" s="10" t="n">
        <f aca="false">G15*G18</f>
        <v>82.5426225609834</v>
      </c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12" t="s">
        <v>138</v>
      </c>
      <c r="B22" s="5"/>
      <c r="C22" s="10" t="n">
        <f aca="false">Historicals!F4+C5</f>
        <v>716.7</v>
      </c>
      <c r="D22" s="5"/>
      <c r="E22" s="5"/>
      <c r="F22" s="5"/>
      <c r="G22" s="5"/>
    </row>
    <row r="23" customFormat="false" ht="15" hidden="false" customHeight="false" outlineLevel="0" collapsed="false">
      <c r="A23" s="5" t="s">
        <v>139</v>
      </c>
      <c r="B23" s="5"/>
      <c r="C23" s="10" t="n">
        <f aca="false">Historicals!F9+C7</f>
        <v>146.944</v>
      </c>
      <c r="D23" s="5"/>
      <c r="E23" s="5"/>
      <c r="F23" s="5"/>
      <c r="G23" s="5"/>
    </row>
    <row r="24" customFormat="false" ht="15" hidden="false" customHeight="false" outlineLevel="0" collapsed="false">
      <c r="A24" s="5" t="s">
        <v>140</v>
      </c>
      <c r="B24" s="5"/>
      <c r="C24" s="10" t="n">
        <f aca="false">Historicals!F21</f>
        <v>-49.2</v>
      </c>
      <c r="D24" s="5"/>
      <c r="E24" s="5"/>
      <c r="F24" s="5"/>
      <c r="G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8" t="s">
        <v>141</v>
      </c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12" t="s">
        <v>117</v>
      </c>
      <c r="B28" s="30" t="n">
        <f aca="false">Assumptions!$B$31</f>
        <v>0.085405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12" t="s">
        <v>110</v>
      </c>
      <c r="B29" s="30" t="n">
        <f aca="false">Assumptions!$B$25</f>
        <v>0.02</v>
      </c>
      <c r="C29" s="5"/>
      <c r="D29" s="5"/>
      <c r="E29" s="5"/>
      <c r="F29" s="5"/>
      <c r="G29" s="5"/>
    </row>
    <row r="30" customFormat="false" ht="15" hidden="false" customHeight="false" outlineLevel="0" collapsed="false">
      <c r="A30" s="12" t="s">
        <v>142</v>
      </c>
      <c r="B30" s="31" t="n">
        <f aca="false">SUM(C19:G19)</f>
        <v>407.629291757798</v>
      </c>
      <c r="C30" s="5"/>
      <c r="D30" s="5"/>
      <c r="E30" s="5"/>
      <c r="F30" s="5"/>
      <c r="G30" s="5"/>
    </row>
    <row r="31" customFormat="false" ht="15" hidden="false" customHeight="false" outlineLevel="0" collapsed="false">
      <c r="A31" s="12" t="s">
        <v>143</v>
      </c>
      <c r="B31" s="31" t="n">
        <f aca="false">G15*(1+B29)/(B28-B29)</f>
        <v>1786.63055261424</v>
      </c>
      <c r="C31" s="5"/>
      <c r="D31" s="5"/>
      <c r="E31" s="5"/>
      <c r="F31" s="5"/>
      <c r="G31" s="5"/>
    </row>
    <row r="32" customFormat="false" ht="15" hidden="false" customHeight="false" outlineLevel="0" collapsed="false">
      <c r="A32" s="12" t="s">
        <v>144</v>
      </c>
      <c r="B32" s="32" t="n">
        <f aca="false">G17+0.5</f>
        <v>4.5</v>
      </c>
      <c r="C32" s="5"/>
      <c r="D32" s="5"/>
      <c r="E32" s="5"/>
      <c r="F32" s="5"/>
      <c r="G32" s="5"/>
    </row>
    <row r="33" customFormat="false" ht="15" hidden="false" customHeight="false" outlineLevel="0" collapsed="false">
      <c r="A33" s="12" t="s">
        <v>145</v>
      </c>
      <c r="B33" s="31" t="n">
        <f aca="false">B31/(1+B28)^B32</f>
        <v>1235.58200918899</v>
      </c>
      <c r="C33" s="5"/>
      <c r="D33" s="5"/>
      <c r="E33" s="5"/>
      <c r="F33" s="5"/>
      <c r="G33" s="5"/>
    </row>
    <row r="34" customFormat="false" ht="15" hidden="false" customHeight="false" outlineLevel="0" collapsed="false">
      <c r="A34" s="8" t="s">
        <v>146</v>
      </c>
      <c r="B34" s="13" t="n">
        <f aca="false">B30+B33</f>
        <v>1643.21130094679</v>
      </c>
      <c r="C34" s="5"/>
      <c r="D34" s="5"/>
      <c r="E34" s="5"/>
      <c r="F34" s="5"/>
      <c r="G34" s="5"/>
    </row>
    <row r="35" customFormat="false" ht="15" hidden="false" customHeight="false" outlineLevel="0" collapsed="false">
      <c r="A35" s="12" t="s">
        <v>147</v>
      </c>
      <c r="B35" s="31" t="n">
        <f aca="false">-Assumptions!$B$8</f>
        <v>-226.2</v>
      </c>
      <c r="C35" s="5"/>
      <c r="D35" s="5"/>
      <c r="E35" s="5"/>
      <c r="F35" s="5"/>
      <c r="G35" s="5"/>
    </row>
    <row r="36" customFormat="false" ht="15" hidden="false" customHeight="false" outlineLevel="0" collapsed="false">
      <c r="A36" s="8" t="s">
        <v>148</v>
      </c>
      <c r="B36" s="13" t="n">
        <f aca="false">B34+B35</f>
        <v>1417.01130094679</v>
      </c>
      <c r="C36" s="5"/>
      <c r="D36" s="5"/>
      <c r="E36" s="5"/>
      <c r="F36" s="5"/>
      <c r="G36" s="5"/>
    </row>
    <row r="37" customFormat="false" ht="15" hidden="false" customHeight="false" outlineLevel="0" collapsed="false">
      <c r="A37" s="12" t="s">
        <v>149</v>
      </c>
      <c r="B37" s="33" t="n">
        <f aca="false">Assumptions!$B$6+Assumptions!$B$7</f>
        <v>151.969919</v>
      </c>
      <c r="C37" s="5"/>
      <c r="D37" s="5"/>
      <c r="E37" s="5"/>
      <c r="F37" s="5"/>
      <c r="G37" s="5"/>
    </row>
    <row r="38" customFormat="false" ht="15" hidden="false" customHeight="false" outlineLevel="0" collapsed="false">
      <c r="A38" s="8" t="s">
        <v>150</v>
      </c>
      <c r="B38" s="34" t="n">
        <f aca="false">B36/B37</f>
        <v>9.32428805826232</v>
      </c>
      <c r="C38" s="5"/>
      <c r="D38" s="5"/>
      <c r="E38" s="5"/>
      <c r="F38" s="5"/>
      <c r="G38" s="5"/>
    </row>
    <row r="39" customFormat="false" ht="15" hidden="false" customHeight="false" outlineLevel="0" collapsed="false">
      <c r="A39" s="12" t="s">
        <v>70</v>
      </c>
      <c r="B39" s="35" t="n">
        <f aca="false">Assumptions!$B$5</f>
        <v>8</v>
      </c>
      <c r="C39" s="5"/>
      <c r="D39" s="5"/>
      <c r="E39" s="5"/>
      <c r="F39" s="5"/>
      <c r="G39" s="5"/>
    </row>
    <row r="40" customFormat="false" ht="15" hidden="false" customHeight="false" outlineLevel="0" collapsed="false">
      <c r="A40" s="12" t="s">
        <v>151</v>
      </c>
      <c r="B40" s="36" t="n">
        <f aca="false">B39/B38-1</f>
        <v>-0.142025648498585</v>
      </c>
      <c r="C40" s="5"/>
      <c r="D40" s="5"/>
      <c r="E40" s="5"/>
      <c r="F40" s="5"/>
      <c r="G40" s="5"/>
    </row>
    <row r="41" customFormat="false" ht="15" hidden="false" customHeight="false" outlineLevel="0" collapsed="false">
      <c r="A41" s="12" t="s">
        <v>152</v>
      </c>
      <c r="B41" s="36" t="n">
        <f aca="false">B33/B34</f>
        <v>0.75193129969169</v>
      </c>
      <c r="C41" s="5"/>
      <c r="D41" s="5"/>
      <c r="E41" s="5"/>
      <c r="F41" s="5"/>
      <c r="G41" s="5"/>
    </row>
    <row r="42" customFormat="false" ht="15" hidden="false" customHeight="false" outlineLevel="0" collapsed="false">
      <c r="A42" s="12" t="s">
        <v>153</v>
      </c>
      <c r="B42" s="37" t="n">
        <f aca="false">B31/G7</f>
        <v>10.0675958332268</v>
      </c>
      <c r="C42" s="5"/>
      <c r="D42" s="5"/>
      <c r="E42" s="5"/>
      <c r="F42" s="5"/>
      <c r="G42" s="5"/>
    </row>
    <row r="43" customFormat="false" ht="15" hidden="false" customHeight="false" outlineLevel="0" collapsed="false">
      <c r="A43" s="12" t="s">
        <v>154</v>
      </c>
      <c r="B43" s="37" t="n">
        <f aca="false">B34/Historicals!D9</f>
        <v>10.9110976158485</v>
      </c>
      <c r="C43" s="5"/>
      <c r="D43" s="5"/>
      <c r="E43" s="5"/>
      <c r="F43" s="5"/>
      <c r="G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</row>
    <row r="45" customFormat="false" ht="15" hidden="false" customHeight="false" outlineLevel="0" collapsed="false">
      <c r="A45" s="8" t="s">
        <v>155</v>
      </c>
      <c r="B45" s="5"/>
      <c r="C45" s="5"/>
      <c r="D45" s="5"/>
      <c r="E45" s="5"/>
      <c r="F45" s="5"/>
      <c r="G45" s="5"/>
    </row>
    <row r="46" customFormat="false" ht="15" hidden="false" customHeight="false" outlineLevel="0" collapsed="false">
      <c r="A46" s="12" t="s">
        <v>156</v>
      </c>
      <c r="B46" s="38" t="n">
        <f aca="false">Assumptions!$B$26</f>
        <v>8</v>
      </c>
      <c r="C46" s="5"/>
      <c r="D46" s="5"/>
      <c r="E46" s="5"/>
      <c r="F46" s="5"/>
      <c r="G46" s="5"/>
    </row>
    <row r="47" customFormat="false" ht="15" hidden="false" customHeight="false" outlineLevel="0" collapsed="false">
      <c r="A47" s="12" t="s">
        <v>143</v>
      </c>
      <c r="B47" s="10" t="n">
        <f aca="false">G7*B46</f>
        <v>1419.70780886352</v>
      </c>
      <c r="C47" s="5"/>
      <c r="D47" s="5"/>
      <c r="E47" s="5"/>
      <c r="F47" s="5"/>
      <c r="G47" s="5"/>
    </row>
    <row r="48" customFormat="false" ht="15" hidden="false" customHeight="false" outlineLevel="0" collapsed="false">
      <c r="A48" s="12" t="s">
        <v>145</v>
      </c>
      <c r="B48" s="10" t="n">
        <f aca="false">B47/(1+Assumptions!$B$31)^B32</f>
        <v>981.828853407974</v>
      </c>
      <c r="C48" s="5"/>
      <c r="D48" s="5"/>
      <c r="E48" s="5"/>
      <c r="F48" s="5"/>
      <c r="G48" s="5"/>
    </row>
    <row r="49" customFormat="false" ht="15" hidden="false" customHeight="false" outlineLevel="0" collapsed="false">
      <c r="A49" s="12" t="s">
        <v>146</v>
      </c>
      <c r="B49" s="10" t="n">
        <f aca="false">B30+B48</f>
        <v>1389.45814516577</v>
      </c>
      <c r="C49" s="5"/>
      <c r="D49" s="5"/>
      <c r="E49" s="5"/>
      <c r="F49" s="5"/>
      <c r="G49" s="5"/>
    </row>
    <row r="50" customFormat="false" ht="15" hidden="false" customHeight="false" outlineLevel="0" collapsed="false">
      <c r="A50" s="12" t="s">
        <v>148</v>
      </c>
      <c r="B50" s="10" t="n">
        <f aca="false">B49-Assumptions!$B$8</f>
        <v>1163.25814516577</v>
      </c>
      <c r="C50" s="5"/>
      <c r="D50" s="5"/>
      <c r="E50" s="5"/>
      <c r="F50" s="5"/>
      <c r="G50" s="5"/>
    </row>
    <row r="51" customFormat="false" ht="15" hidden="false" customHeight="false" outlineLevel="0" collapsed="false">
      <c r="A51" s="12" t="s">
        <v>150</v>
      </c>
      <c r="B51" s="39" t="n">
        <f aca="false">B50/B37</f>
        <v>7.65452895428451</v>
      </c>
      <c r="C51" s="5"/>
      <c r="D51" s="5"/>
      <c r="E51" s="5"/>
      <c r="F51" s="5"/>
      <c r="G51" s="5"/>
    </row>
    <row r="52" customFormat="false" ht="15" hidden="false" customHeight="false" outlineLevel="0" collapsed="false">
      <c r="A52" s="12" t="s">
        <v>157</v>
      </c>
      <c r="B52" s="14" t="n">
        <f aca="false">Assumptions!$B$5/B51-1</f>
        <v>0.0451328942353948</v>
      </c>
      <c r="C52" s="5"/>
      <c r="D52" s="5"/>
      <c r="E52" s="5"/>
      <c r="F52" s="5"/>
      <c r="G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</row>
    <row r="54" customFormat="false" ht="15" hidden="false" customHeight="false" outlineLevel="0" collapsed="false">
      <c r="A54" s="25" t="s">
        <v>158</v>
      </c>
      <c r="B54" s="5"/>
      <c r="C54" s="5"/>
      <c r="D54" s="5"/>
      <c r="E54" s="5"/>
      <c r="F54" s="5"/>
      <c r="G5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1"/>
  </cols>
  <sheetData>
    <row r="1" customFormat="false" ht="17.35" hidden="false" customHeight="false" outlineLevel="0" collapsed="false">
      <c r="A1" s="4" t="s">
        <v>159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5" t="s">
        <v>160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8" t="s">
        <v>161</v>
      </c>
      <c r="B4" s="40" t="n">
        <v>0.01</v>
      </c>
      <c r="C4" s="40" t="n">
        <v>0.015</v>
      </c>
      <c r="D4" s="40" t="n">
        <v>0.02</v>
      </c>
      <c r="E4" s="40" t="n">
        <v>0.025</v>
      </c>
      <c r="F4" s="40" t="n">
        <v>0.03</v>
      </c>
      <c r="G4" s="5"/>
      <c r="H4" s="5"/>
    </row>
    <row r="5" customFormat="false" ht="15" hidden="false" customHeight="false" outlineLevel="0" collapsed="false">
      <c r="A5" s="40" t="n">
        <v>0.07</v>
      </c>
      <c r="B5" s="39" t="n">
        <f aca="false">(SUMPRODUCT(DCF!$C$15:$G$15,1/(1+$A5)^DCF!$C$17:$G$17)+DCF!$G$15*(1+B$4)/($A5-B$4)/(1+$A5)^DCF!$B$32-Assumptions!$B$8)/DCF!$B$37</f>
        <v>10.6375087553612</v>
      </c>
      <c r="C5" s="39" t="n">
        <f aca="false">(SUMPRODUCT(DCF!$C$15:$G$15,1/(1+$A5)^DCF!$C$17:$G$17)+DCF!$G$15*(1+C$4)/($A5-C$4)/(1+$A5)^DCF!$B$32-Assumptions!$B$8)/DCF!$B$37</f>
        <v>11.5388738691961</v>
      </c>
      <c r="D5" s="39" t="n">
        <f aca="false">(SUMPRODUCT(DCF!$C$15:$G$15,1/(1+$A5)^DCF!$C$17:$G$17)+DCF!$G$15*(1+D$4)/($A5-D$4)/(1+$A5)^DCF!$B$32-Assumptions!$B$8)/DCF!$B$37</f>
        <v>12.6205120057979</v>
      </c>
      <c r="E5" s="39" t="n">
        <f aca="false">(SUMPRODUCT(DCF!$C$15:$G$15,1/(1+$A5)^DCF!$C$17:$G$17)+DCF!$G$15*(1+E$4)/($A5-E$4)/(1+$A5)^DCF!$B$32-Assumptions!$B$8)/DCF!$B$37</f>
        <v>13.9425141727557</v>
      </c>
      <c r="F5" s="39" t="n">
        <f aca="false">(SUMPRODUCT(DCF!$C$15:$G$15,1/(1+$A5)^DCF!$C$17:$G$17)+DCF!$G$15*(1+F$4)/($A5-F$4)/(1+$A5)^DCF!$B$32-Assumptions!$B$8)/DCF!$B$37</f>
        <v>15.5950168814529</v>
      </c>
      <c r="G5" s="5"/>
      <c r="H5" s="5"/>
    </row>
    <row r="6" customFormat="false" ht="15" hidden="false" customHeight="false" outlineLevel="0" collapsed="false">
      <c r="A6" s="40" t="n">
        <v>0.075</v>
      </c>
      <c r="B6" s="39" t="n">
        <f aca="false">(SUMPRODUCT(DCF!$C$15:$G$15,1/(1+$A6)^DCF!$C$17:$G$17)+DCF!$G$15*(1+B$4)/($A6-B$4)/(1+$A6)^DCF!$B$32-Assumptions!$B$8)/DCF!$B$37</f>
        <v>9.71024177641246</v>
      </c>
      <c r="C6" s="39" t="n">
        <f aca="false">(SUMPRODUCT(DCF!$C$15:$G$15,1/(1+$A6)^DCF!$C$17:$G$17)+DCF!$G$15*(1+C$4)/($A6-C$4)/(1+$A6)^DCF!$B$32-Assumptions!$B$8)/DCF!$B$37</f>
        <v>10.4605914105642</v>
      </c>
      <c r="D6" s="39" t="n">
        <f aca="false">(SUMPRODUCT(DCF!$C$15:$G$15,1/(1+$A6)^DCF!$C$17:$G$17)+DCF!$G$15*(1+D$4)/($A6-D$4)/(1+$A6)^DCF!$B$32-Assumptions!$B$8)/DCF!$B$37</f>
        <v>11.3473682509254</v>
      </c>
      <c r="E6" s="39" t="n">
        <f aca="false">(SUMPRODUCT(DCF!$C$15:$G$15,1/(1+$A6)^DCF!$C$17:$G$17)+DCF!$G$15*(1+E$4)/($A6-E$4)/(1+$A6)^DCF!$B$32-Assumptions!$B$8)/DCF!$B$37</f>
        <v>12.4115004593589</v>
      </c>
      <c r="F6" s="39" t="n">
        <f aca="false">(SUMPRODUCT(DCF!$C$15:$G$15,1/(1+$A6)^DCF!$C$17:$G$17)+DCF!$G$15*(1+F$4)/($A6-F$4)/(1+$A6)^DCF!$B$32-Assumptions!$B$8)/DCF!$B$37</f>
        <v>13.7121064918886</v>
      </c>
      <c r="G6" s="5"/>
      <c r="H6" s="5"/>
    </row>
    <row r="7" customFormat="false" ht="15" hidden="false" customHeight="false" outlineLevel="0" collapsed="false">
      <c r="A7" s="40" t="n">
        <v>0.08</v>
      </c>
      <c r="B7" s="39" t="n">
        <f aca="false">(SUMPRODUCT(DCF!$C$15:$G$15,1/(1+$A7)^DCF!$C$17:$G$17)+DCF!$G$15*(1+B$4)/($A7-B$4)/(1+$A7)^DCF!$B$32-Assumptions!$B$8)/DCF!$B$37</f>
        <v>8.91615570898438</v>
      </c>
      <c r="C7" s="39" t="n">
        <f aca="false">(SUMPRODUCT(DCF!$C$15:$G$15,1/(1+$A7)^DCF!$C$17:$G$17)+DCF!$G$15*(1+C$4)/($A7-C$4)/(1+$A7)^DCF!$B$32-Assumptions!$B$8)/DCF!$B$37</f>
        <v>9.54895118577356</v>
      </c>
      <c r="D7" s="39" t="n">
        <f aca="false">(SUMPRODUCT(DCF!$C$15:$G$15,1/(1+$A7)^DCF!$C$17:$G$17)+DCF!$G$15*(1+D$4)/($A7-D$4)/(1+$A7)^DCF!$B$32-Assumptions!$B$8)/DCF!$B$37</f>
        <v>10.2872125753609</v>
      </c>
      <c r="E7" s="39" t="n">
        <f aca="false">(SUMPRODUCT(DCF!$C$15:$G$15,1/(1+$A7)^DCF!$C$17:$G$17)+DCF!$G$15*(1+E$4)/($A7-E$4)/(1+$A7)^DCF!$B$32-Assumptions!$B$8)/DCF!$B$37</f>
        <v>11.1597033085097</v>
      </c>
      <c r="F7" s="39" t="n">
        <f aca="false">(SUMPRODUCT(DCF!$C$15:$G$15,1/(1+$A7)^DCF!$C$17:$G$17)+DCF!$G$15*(1+F$4)/($A7-F$4)/(1+$A7)^DCF!$B$32-Assumptions!$B$8)/DCF!$B$37</f>
        <v>12.2066921882881</v>
      </c>
      <c r="G7" s="5"/>
      <c r="H7" s="5"/>
    </row>
    <row r="8" customFormat="false" ht="15" hidden="false" customHeight="false" outlineLevel="0" collapsed="false">
      <c r="A8" s="40" t="n">
        <v>0.085</v>
      </c>
      <c r="B8" s="39" t="n">
        <f aca="false">(SUMPRODUCT(DCF!$C$15:$G$15,1/(1+$A8)^DCF!$C$17:$G$17)+DCF!$G$15*(1+B$4)/($A8-B$4)/(1+$A8)^DCF!$B$32-Assumptions!$B$8)/DCF!$B$37</f>
        <v>8.22858688329116</v>
      </c>
      <c r="C8" s="39" t="n">
        <f aca="false">(SUMPRODUCT(DCF!$C$15:$G$15,1/(1+$A8)^DCF!$C$17:$G$17)+DCF!$G$15*(1+C$4)/($A8-C$4)/(1+$A8)^DCF!$B$32-Assumptions!$B$8)/DCF!$B$37</f>
        <v>8.76821493783817</v>
      </c>
      <c r="D8" s="39" t="n">
        <f aca="false">(SUMPRODUCT(DCF!$C$15:$G$15,1/(1+$A8)^DCF!$C$17:$G$17)+DCF!$G$15*(1+D$4)/($A8-D$4)/(1+$A8)^DCF!$B$32-Assumptions!$B$8)/DCF!$B$37</f>
        <v>9.39086269308473</v>
      </c>
      <c r="E8" s="39" t="n">
        <f aca="false">(SUMPRODUCT(DCF!$C$15:$G$15,1/(1+$A8)^DCF!$C$17:$G$17)+DCF!$G$15*(1+E$4)/($A8-E$4)/(1+$A8)^DCF!$B$32-Assumptions!$B$8)/DCF!$B$37</f>
        <v>10.1172850742057</v>
      </c>
      <c r="F8" s="39" t="n">
        <f aca="false">(SUMPRODUCT(DCF!$C$15:$G$15,1/(1+$A8)^DCF!$C$17:$G$17)+DCF!$G$15*(1+F$4)/($A8-F$4)/(1+$A8)^DCF!$B$32-Assumptions!$B$8)/DCF!$B$37</f>
        <v>10.9757842518941</v>
      </c>
      <c r="G8" s="5"/>
      <c r="H8" s="5"/>
    </row>
    <row r="9" customFormat="false" ht="15" hidden="false" customHeight="false" outlineLevel="0" collapsed="false">
      <c r="A9" s="40" t="n">
        <v>0.09</v>
      </c>
      <c r="B9" s="39" t="n">
        <f aca="false">(SUMPRODUCT(DCF!$C$15:$G$15,1/(1+$A9)^DCF!$C$17:$G$17)+DCF!$G$15*(1+B$4)/($A9-B$4)/(1+$A9)^DCF!$B$32-Assumptions!$B$8)/DCF!$B$37</f>
        <v>7.62753861045284</v>
      </c>
      <c r="C9" s="39" t="n">
        <f aca="false">(SUMPRODUCT(DCF!$C$15:$G$15,1/(1+$A9)^DCF!$C$17:$G$17)+DCF!$G$15*(1+C$4)/($A9-C$4)/(1+$A9)^DCF!$B$32-Assumptions!$B$8)/DCF!$B$37</f>
        <v>8.09217574231702</v>
      </c>
      <c r="D9" s="39" t="n">
        <f aca="false">(SUMPRODUCT(DCF!$C$15:$G$15,1/(1+$A9)^DCF!$C$17:$G$17)+DCF!$G$15*(1+D$4)/($A9-D$4)/(1+$A9)^DCF!$B$32-Assumptions!$B$8)/DCF!$B$37</f>
        <v>8.62318960730465</v>
      </c>
      <c r="E9" s="39" t="n">
        <f aca="false">(SUMPRODUCT(DCF!$C$15:$G$15,1/(1+$A9)^DCF!$C$17:$G$17)+DCF!$G$15*(1+E$4)/($A9-E$4)/(1+$A9)^DCF!$B$32-Assumptions!$B$8)/DCF!$B$37</f>
        <v>9.2358979130596</v>
      </c>
      <c r="F9" s="39" t="n">
        <f aca="false">(SUMPRODUCT(DCF!$C$15:$G$15,1/(1+$A9)^DCF!$C$17:$G$17)+DCF!$G$15*(1+F$4)/($A9-F$4)/(1+$A9)^DCF!$B$32-Assumptions!$B$8)/DCF!$B$37</f>
        <v>9.95072426977372</v>
      </c>
      <c r="G9" s="5"/>
      <c r="H9" s="5"/>
    </row>
    <row r="10" customFormat="false" ht="15" hidden="false" customHeight="false" outlineLevel="0" collapsed="false">
      <c r="A10" s="40" t="n">
        <v>0.095</v>
      </c>
      <c r="B10" s="39" t="n">
        <f aca="false">(SUMPRODUCT(DCF!$C$15:$G$15,1/(1+$A10)^DCF!$C$17:$G$17)+DCF!$G$15*(1+B$4)/($A10-B$4)/(1+$A10)^DCF!$B$32-Assumptions!$B$8)/DCF!$B$37</f>
        <v>7.09772026177153</v>
      </c>
      <c r="C10" s="39" t="n">
        <f aca="false">(SUMPRODUCT(DCF!$C$15:$G$15,1/(1+$A10)^DCF!$C$17:$G$17)+DCF!$G$15*(1+C$4)/($A10-C$4)/(1+$A10)^DCF!$B$32-Assumptions!$B$8)/DCF!$B$37</f>
        <v>7.50117941918985</v>
      </c>
      <c r="D10" s="39" t="n">
        <f aca="false">(SUMPRODUCT(DCF!$C$15:$G$15,1/(1+$A10)^DCF!$C$17:$G$17)+DCF!$G$15*(1+D$4)/($A10-D$4)/(1+$A10)^DCF!$B$32-Assumptions!$B$8)/DCF!$B$37</f>
        <v>7.95843313093061</v>
      </c>
      <c r="E10" s="39" t="n">
        <f aca="false">(SUMPRODUCT(DCF!$C$15:$G$15,1/(1+$A10)^DCF!$C$17:$G$17)+DCF!$G$15*(1+E$4)/($A10-E$4)/(1+$A10)^DCF!$B$32-Assumptions!$B$8)/DCF!$B$37</f>
        <v>8.48100880149148</v>
      </c>
      <c r="F10" s="39" t="n">
        <f aca="false">(SUMPRODUCT(DCF!$C$15:$G$15,1/(1+$A10)^DCF!$C$17:$G$17)+DCF!$G$15*(1+F$4)/($A10-F$4)/(1+$A10)^DCF!$B$32-Assumptions!$B$8)/DCF!$B$37</f>
        <v>9.08398072906172</v>
      </c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7.35" hidden="false" customHeight="false" outlineLevel="0" collapsed="false">
      <c r="A12" s="4" t="s">
        <v>162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8" t="s">
        <v>163</v>
      </c>
      <c r="B14" s="41" t="n">
        <v>7</v>
      </c>
      <c r="C14" s="41" t="n">
        <v>7.5</v>
      </c>
      <c r="D14" s="41" t="n">
        <v>8</v>
      </c>
      <c r="E14" s="41" t="n">
        <v>8.5</v>
      </c>
      <c r="F14" s="41" t="n">
        <v>9</v>
      </c>
      <c r="G14" s="41" t="n">
        <v>9.5</v>
      </c>
      <c r="H14" s="41" t="n">
        <v>10</v>
      </c>
    </row>
    <row r="15" customFormat="false" ht="15" hidden="false" customHeight="false" outlineLevel="0" collapsed="false">
      <c r="A15" s="40" t="n">
        <v>0.07</v>
      </c>
      <c r="B15" s="39" t="n">
        <f aca="false">(SUMPRODUCT(DCF!$C$15:$G$15,1/(1+$A15)^DCF!$C$17:$G$17)+DCF!$G$7*B$14/(1+$A15)^DCF!$B$32-Assumptions!$B$8)/DCF!$B$37</f>
        <v>7.3071569475752</v>
      </c>
      <c r="C15" s="39" t="n">
        <f aca="false">(SUMPRODUCT(DCF!$C$15:$G$15,1/(1+$A15)^DCF!$C$17:$G$17)+DCF!$G$7*C$14/(1+$A15)^DCF!$B$32-Assumptions!$B$8)/DCF!$B$37</f>
        <v>7.73777710647867</v>
      </c>
      <c r="D15" s="39" t="n">
        <f aca="false">(SUMPRODUCT(DCF!$C$15:$G$15,1/(1+$A15)^DCF!$C$17:$G$17)+DCF!$G$7*D$14/(1+$A15)^DCF!$B$32-Assumptions!$B$8)/DCF!$B$37</f>
        <v>8.16839726538214</v>
      </c>
      <c r="E15" s="39" t="n">
        <f aca="false">(SUMPRODUCT(DCF!$C$15:$G$15,1/(1+$A15)^DCF!$C$17:$G$17)+DCF!$G$7*E$14/(1+$A15)^DCF!$B$32-Assumptions!$B$8)/DCF!$B$37</f>
        <v>8.59901742428562</v>
      </c>
      <c r="F15" s="39" t="n">
        <f aca="false">(SUMPRODUCT(DCF!$C$15:$G$15,1/(1+$A15)^DCF!$C$17:$G$17)+DCF!$G$7*F$14/(1+$A15)^DCF!$B$32-Assumptions!$B$8)/DCF!$B$37</f>
        <v>9.02963758318909</v>
      </c>
      <c r="G15" s="39" t="n">
        <f aca="false">(SUMPRODUCT(DCF!$C$15:$G$15,1/(1+$A15)^DCF!$C$17:$G$17)+DCF!$G$7*G$14/(1+$A15)^DCF!$B$32-Assumptions!$B$8)/DCF!$B$37</f>
        <v>9.46025774209256</v>
      </c>
      <c r="H15" s="39" t="n">
        <f aca="false">(SUMPRODUCT(DCF!$C$15:$G$15,1/(1+$A15)^DCF!$C$17:$G$17)+DCF!$G$7*H$14/(1+$A15)^DCF!$B$32-Assumptions!$B$8)/DCF!$B$37</f>
        <v>9.89087790099603</v>
      </c>
    </row>
    <row r="16" customFormat="false" ht="15" hidden="false" customHeight="false" outlineLevel="0" collapsed="false">
      <c r="A16" s="40" t="n">
        <v>0.075</v>
      </c>
      <c r="B16" s="39" t="n">
        <f aca="false">(SUMPRODUCT(DCF!$C$15:$G$15,1/(1+$A16)^DCF!$C$17:$G$17)+DCF!$G$7*B$14/(1+$A16)^DCF!$B$32-Assumptions!$B$8)/DCF!$B$37</f>
        <v>7.15400949141103</v>
      </c>
      <c r="C16" s="39" t="n">
        <f aca="false">(SUMPRODUCT(DCF!$C$15:$G$15,1/(1+$A16)^DCF!$C$17:$G$17)+DCF!$G$7*C$14/(1+$A16)^DCF!$B$32-Assumptions!$B$8)/DCF!$B$37</f>
        <v>7.57568974785908</v>
      </c>
      <c r="D16" s="39" t="n">
        <f aca="false">(SUMPRODUCT(DCF!$C$15:$G$15,1/(1+$A16)^DCF!$C$17:$G$17)+DCF!$G$7*D$14/(1+$A16)^DCF!$B$32-Assumptions!$B$8)/DCF!$B$37</f>
        <v>7.99737000430712</v>
      </c>
      <c r="E16" s="39" t="n">
        <f aca="false">(SUMPRODUCT(DCF!$C$15:$G$15,1/(1+$A16)^DCF!$C$17:$G$17)+DCF!$G$7*E$14/(1+$A16)^DCF!$B$32-Assumptions!$B$8)/DCF!$B$37</f>
        <v>8.41905026075516</v>
      </c>
      <c r="F16" s="39" t="n">
        <f aca="false">(SUMPRODUCT(DCF!$C$15:$G$15,1/(1+$A16)^DCF!$C$17:$G$17)+DCF!$G$7*F$14/(1+$A16)^DCF!$B$32-Assumptions!$B$8)/DCF!$B$37</f>
        <v>8.84073051720321</v>
      </c>
      <c r="G16" s="39" t="n">
        <f aca="false">(SUMPRODUCT(DCF!$C$15:$G$15,1/(1+$A16)^DCF!$C$17:$G$17)+DCF!$G$7*G$14/(1+$A16)^DCF!$B$32-Assumptions!$B$8)/DCF!$B$37</f>
        <v>9.26241077365125</v>
      </c>
      <c r="H16" s="39" t="n">
        <f aca="false">(SUMPRODUCT(DCF!$C$15:$G$15,1/(1+$A16)^DCF!$C$17:$G$17)+DCF!$G$7*H$14/(1+$A16)^DCF!$B$32-Assumptions!$B$8)/DCF!$B$37</f>
        <v>9.68409103009929</v>
      </c>
    </row>
    <row r="17" customFormat="false" ht="15" hidden="false" customHeight="false" outlineLevel="0" collapsed="false">
      <c r="A17" s="40" t="n">
        <v>0.08</v>
      </c>
      <c r="B17" s="39" t="n">
        <f aca="false">(SUMPRODUCT(DCF!$C$15:$G$15,1/(1+$A17)^DCF!$C$17:$G$17)+DCF!$G$7*B$14/(1+$A17)^DCF!$B$32-Assumptions!$B$8)/DCF!$B$37</f>
        <v>7.00452941728671</v>
      </c>
      <c r="C17" s="39" t="n">
        <f aca="false">(SUMPRODUCT(DCF!$C$15:$G$15,1/(1+$A17)^DCF!$C$17:$G$17)+DCF!$G$7*C$14/(1+$A17)^DCF!$B$32-Assumptions!$B$8)/DCF!$B$37</f>
        <v>7.41749556908622</v>
      </c>
      <c r="D17" s="39" t="n">
        <f aca="false">(SUMPRODUCT(DCF!$C$15:$G$15,1/(1+$A17)^DCF!$C$17:$G$17)+DCF!$G$7*D$14/(1+$A17)^DCF!$B$32-Assumptions!$B$8)/DCF!$B$37</f>
        <v>7.83046172088572</v>
      </c>
      <c r="E17" s="39" t="n">
        <f aca="false">(SUMPRODUCT(DCF!$C$15:$G$15,1/(1+$A17)^DCF!$C$17:$G$17)+DCF!$G$7*E$14/(1+$A17)^DCF!$B$32-Assumptions!$B$8)/DCF!$B$37</f>
        <v>8.24342787268522</v>
      </c>
      <c r="F17" s="39" t="n">
        <f aca="false">(SUMPRODUCT(DCF!$C$15:$G$15,1/(1+$A17)^DCF!$C$17:$G$17)+DCF!$G$7*F$14/(1+$A17)^DCF!$B$32-Assumptions!$B$8)/DCF!$B$37</f>
        <v>8.65639402448472</v>
      </c>
      <c r="G17" s="39" t="n">
        <f aca="false">(SUMPRODUCT(DCF!$C$15:$G$15,1/(1+$A17)^DCF!$C$17:$G$17)+DCF!$G$7*G$14/(1+$A17)^DCF!$B$32-Assumptions!$B$8)/DCF!$B$37</f>
        <v>9.06936017628423</v>
      </c>
      <c r="H17" s="39" t="n">
        <f aca="false">(SUMPRODUCT(DCF!$C$15:$G$15,1/(1+$A17)^DCF!$C$17:$G$17)+DCF!$G$7*H$14/(1+$A17)^DCF!$B$32-Assumptions!$B$8)/DCF!$B$37</f>
        <v>9.48232632808373</v>
      </c>
    </row>
    <row r="18" customFormat="false" ht="15" hidden="false" customHeight="false" outlineLevel="0" collapsed="false">
      <c r="A18" s="40" t="n">
        <v>0.085</v>
      </c>
      <c r="B18" s="39" t="n">
        <f aca="false">(SUMPRODUCT(DCF!$C$15:$G$15,1/(1+$A18)^DCF!$C$17:$G$17)+DCF!$G$7*B$14/(1+$A18)^DCF!$B$32-Assumptions!$B$8)/DCF!$B$37</f>
        <v>6.85861071946264</v>
      </c>
      <c r="C18" s="39" t="n">
        <f aca="false">(SUMPRODUCT(DCF!$C$15:$G$15,1/(1+$A18)^DCF!$C$17:$G$17)+DCF!$G$7*C$14/(1+$A18)^DCF!$B$32-Assumptions!$B$8)/DCF!$B$37</f>
        <v>7.26308185531128</v>
      </c>
      <c r="D18" s="39" t="n">
        <f aca="false">(SUMPRODUCT(DCF!$C$15:$G$15,1/(1+$A18)^DCF!$C$17:$G$17)+DCF!$G$7*D$14/(1+$A18)^DCF!$B$32-Assumptions!$B$8)/DCF!$B$37</f>
        <v>7.66755299115991</v>
      </c>
      <c r="E18" s="39" t="n">
        <f aca="false">(SUMPRODUCT(DCF!$C$15:$G$15,1/(1+$A18)^DCF!$C$17:$G$17)+DCF!$G$7*E$14/(1+$A18)^DCF!$B$32-Assumptions!$B$8)/DCF!$B$37</f>
        <v>8.07202412700855</v>
      </c>
      <c r="F18" s="39" t="n">
        <f aca="false">(SUMPRODUCT(DCF!$C$15:$G$15,1/(1+$A18)^DCF!$C$17:$G$17)+DCF!$G$7*F$14/(1+$A18)^DCF!$B$32-Assumptions!$B$8)/DCF!$B$37</f>
        <v>8.47649526285719</v>
      </c>
      <c r="G18" s="39" t="n">
        <f aca="false">(SUMPRODUCT(DCF!$C$15:$G$15,1/(1+$A18)^DCF!$C$17:$G$17)+DCF!$G$7*G$14/(1+$A18)^DCF!$B$32-Assumptions!$B$8)/DCF!$B$37</f>
        <v>8.88096639870583</v>
      </c>
      <c r="H18" s="39" t="n">
        <f aca="false">(SUMPRODUCT(DCF!$C$15:$G$15,1/(1+$A18)^DCF!$C$17:$G$17)+DCF!$G$7*H$14/(1+$A18)^DCF!$B$32-Assumptions!$B$8)/DCF!$B$37</f>
        <v>9.28543753455447</v>
      </c>
    </row>
    <row r="19" customFormat="false" ht="15" hidden="false" customHeight="false" outlineLevel="0" collapsed="false">
      <c r="A19" s="40" t="n">
        <v>0.09</v>
      </c>
      <c r="B19" s="39" t="n">
        <f aca="false">(SUMPRODUCT(DCF!$C$15:$G$15,1/(1+$A19)^DCF!$C$17:$G$17)+DCF!$G$7*B$14/(1+$A19)^DCF!$B$32-Assumptions!$B$8)/DCF!$B$37</f>
        <v>6.71615094849641</v>
      </c>
      <c r="C19" s="39" t="n">
        <f aca="false">(SUMPRODUCT(DCF!$C$15:$G$15,1/(1+$A19)^DCF!$C$17:$G$17)+DCF!$G$7*C$14/(1+$A19)^DCF!$B$32-Assumptions!$B$8)/DCF!$B$37</f>
        <v>7.11233967695052</v>
      </c>
      <c r="D19" s="39" t="n">
        <f aca="false">(SUMPRODUCT(DCF!$C$15:$G$15,1/(1+$A19)^DCF!$C$17:$G$17)+DCF!$G$7*D$14/(1+$A19)^DCF!$B$32-Assumptions!$B$8)/DCF!$B$37</f>
        <v>7.50852840540463</v>
      </c>
      <c r="E19" s="39" t="n">
        <f aca="false">(SUMPRODUCT(DCF!$C$15:$G$15,1/(1+$A19)^DCF!$C$17:$G$17)+DCF!$G$7*E$14/(1+$A19)^DCF!$B$32-Assumptions!$B$8)/DCF!$B$37</f>
        <v>7.90471713385874</v>
      </c>
      <c r="F19" s="39" t="n">
        <f aca="false">(SUMPRODUCT(DCF!$C$15:$G$15,1/(1+$A19)^DCF!$C$17:$G$17)+DCF!$G$7*F$14/(1+$A19)^DCF!$B$32-Assumptions!$B$8)/DCF!$B$37</f>
        <v>8.30090586231285</v>
      </c>
      <c r="G19" s="39" t="n">
        <f aca="false">(SUMPRODUCT(DCF!$C$15:$G$15,1/(1+$A19)^DCF!$C$17:$G$17)+DCF!$G$7*G$14/(1+$A19)^DCF!$B$32-Assumptions!$B$8)/DCF!$B$37</f>
        <v>8.69709459076696</v>
      </c>
      <c r="H19" s="39" t="n">
        <f aca="false">(SUMPRODUCT(DCF!$C$15:$G$15,1/(1+$A19)^DCF!$C$17:$G$17)+DCF!$G$7*H$14/(1+$A19)^DCF!$B$32-Assumptions!$B$8)/DCF!$B$37</f>
        <v>9.09328331922107</v>
      </c>
    </row>
    <row r="20" customFormat="false" ht="15" hidden="false" customHeight="false" outlineLevel="0" collapsed="false">
      <c r="A20" s="40" t="n">
        <v>0.095</v>
      </c>
      <c r="B20" s="39" t="n">
        <f aca="false">(SUMPRODUCT(DCF!$C$15:$G$15,1/(1+$A20)^DCF!$C$17:$G$17)+DCF!$G$7*B$14/(1+$A20)^DCF!$B$32-Assumptions!$B$8)/DCF!$B$37</f>
        <v>6.57705107592207</v>
      </c>
      <c r="C20" s="39" t="n">
        <f aca="false">(SUMPRODUCT(DCF!$C$15:$G$15,1/(1+$A20)^DCF!$C$17:$G$17)+DCF!$G$7*C$14/(1+$A20)^DCF!$B$32-Assumptions!$B$8)/DCF!$B$37</f>
        <v>6.96516374554861</v>
      </c>
      <c r="D20" s="39" t="n">
        <f aca="false">(SUMPRODUCT(DCF!$C$15:$G$15,1/(1+$A20)^DCF!$C$17:$G$17)+DCF!$G$7*D$14/(1+$A20)^DCF!$B$32-Assumptions!$B$8)/DCF!$B$37</f>
        <v>7.35327641517515</v>
      </c>
      <c r="E20" s="39" t="n">
        <f aca="false">(SUMPRODUCT(DCF!$C$15:$G$15,1/(1+$A20)^DCF!$C$17:$G$17)+DCF!$G$7*E$14/(1+$A20)^DCF!$B$32-Assumptions!$B$8)/DCF!$B$37</f>
        <v>7.74138908480169</v>
      </c>
      <c r="F20" s="39" t="n">
        <f aca="false">(SUMPRODUCT(DCF!$C$15:$G$15,1/(1+$A20)^DCF!$C$17:$G$17)+DCF!$G$7*F$14/(1+$A20)^DCF!$B$32-Assumptions!$B$8)/DCF!$B$37</f>
        <v>8.12950175442824</v>
      </c>
      <c r="G20" s="39" t="n">
        <f aca="false">(SUMPRODUCT(DCF!$C$15:$G$15,1/(1+$A20)^DCF!$C$17:$G$17)+DCF!$G$7*G$14/(1+$A20)^DCF!$B$32-Assumptions!$B$8)/DCF!$B$37</f>
        <v>8.51761442405478</v>
      </c>
      <c r="H20" s="39" t="n">
        <f aca="false">(SUMPRODUCT(DCF!$C$15:$G$15,1/(1+$A20)^DCF!$C$17:$G$17)+DCF!$G$7*H$14/(1+$A20)^DCF!$B$32-Assumptions!$B$8)/DCF!$B$37</f>
        <v>8.90572709368132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164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6" t="s">
        <v>15</v>
      </c>
      <c r="B3" s="7" t="s">
        <v>65</v>
      </c>
      <c r="C3" s="7" t="s">
        <v>165</v>
      </c>
    </row>
    <row r="4" customFormat="false" ht="15" hidden="false" customHeight="false" outlineLevel="0" collapsed="false">
      <c r="A4" s="12" t="s">
        <v>70</v>
      </c>
      <c r="B4" s="39" t="n">
        <f aca="false">Assumptions!$B$5</f>
        <v>8</v>
      </c>
      <c r="C4" s="11" t="s">
        <v>166</v>
      </c>
    </row>
    <row r="5" customFormat="false" ht="15" hidden="false" customHeight="false" outlineLevel="0" collapsed="false">
      <c r="A5" s="12" t="s">
        <v>149</v>
      </c>
      <c r="B5" s="29" t="n">
        <f aca="false">Assumptions!$B$6+Assumptions!$B$7</f>
        <v>151.969919</v>
      </c>
      <c r="C5" s="11" t="s">
        <v>167</v>
      </c>
    </row>
    <row r="6" customFormat="false" ht="15" hidden="false" customHeight="false" outlineLevel="0" collapsed="false">
      <c r="A6" s="12" t="s">
        <v>168</v>
      </c>
      <c r="B6" s="10" t="n">
        <f aca="false">B4*B5</f>
        <v>1215.759352</v>
      </c>
      <c r="C6" s="11" t="s">
        <v>169</v>
      </c>
    </row>
    <row r="7" customFormat="false" ht="15" hidden="false" customHeight="false" outlineLevel="0" collapsed="false">
      <c r="A7" s="12" t="s">
        <v>170</v>
      </c>
      <c r="B7" s="10" t="n">
        <f aca="false">Historicals!D25</f>
        <v>256.1</v>
      </c>
      <c r="C7" s="11" t="s">
        <v>171</v>
      </c>
    </row>
    <row r="8" customFormat="false" ht="15" hidden="false" customHeight="false" outlineLevel="0" collapsed="false">
      <c r="A8" s="12" t="s">
        <v>172</v>
      </c>
      <c r="B8" s="10" t="n">
        <f aca="false">B6+B7</f>
        <v>1471.859352</v>
      </c>
      <c r="C8" s="11" t="s">
        <v>173</v>
      </c>
    </row>
    <row r="9" customFormat="false" ht="15" hidden="false" customHeight="false" outlineLevel="0" collapsed="false">
      <c r="A9" s="12" t="s">
        <v>174</v>
      </c>
      <c r="B9" s="38" t="n">
        <f aca="false">B8/Historicals!D9</f>
        <v>9.77330247011952</v>
      </c>
      <c r="C9" s="11" t="s">
        <v>175</v>
      </c>
    </row>
    <row r="10" customFormat="false" ht="15" hidden="false" customHeight="false" outlineLevel="0" collapsed="false">
      <c r="A10" s="12" t="s">
        <v>176</v>
      </c>
      <c r="B10" s="10" t="n">
        <f aca="false">Assumptions!$B$8</f>
        <v>226.2</v>
      </c>
      <c r="C10" s="11" t="s">
        <v>177</v>
      </c>
    </row>
    <row r="11" customFormat="false" ht="15" hidden="false" customHeight="false" outlineLevel="0" collapsed="false">
      <c r="A11" s="12" t="s">
        <v>178</v>
      </c>
      <c r="B11" s="10" t="n">
        <f aca="false">B6+B10</f>
        <v>1441.959352</v>
      </c>
      <c r="C11" s="11"/>
    </row>
    <row r="12" customFormat="false" ht="15" hidden="false" customHeight="false" outlineLevel="0" collapsed="false">
      <c r="A12" s="12" t="s">
        <v>179</v>
      </c>
      <c r="B12" s="38" t="n">
        <f aca="false">B11/Historicals!G9</f>
        <v>9.32703332470893</v>
      </c>
      <c r="C12" s="11" t="s">
        <v>180</v>
      </c>
    </row>
    <row r="13" customFormat="false" ht="15" hidden="false" customHeight="false" outlineLevel="0" collapsed="false">
      <c r="A13" s="12" t="s">
        <v>181</v>
      </c>
      <c r="B13" s="14" t="n">
        <f aca="false">B4/6.24-1</f>
        <v>0.282051282051282</v>
      </c>
      <c r="C13" s="11" t="s">
        <v>182</v>
      </c>
    </row>
    <row r="14" customFormat="false" ht="15" hidden="false" customHeight="false" outlineLevel="0" collapsed="false">
      <c r="A14" s="5"/>
      <c r="B14" s="5"/>
      <c r="C14" s="5"/>
    </row>
    <row r="15" customFormat="false" ht="15" hidden="false" customHeight="false" outlineLevel="0" collapsed="false">
      <c r="A15" s="5"/>
      <c r="B15" s="5"/>
      <c r="C15" s="5"/>
    </row>
    <row r="16" customFormat="false" ht="15" hidden="false" customHeight="false" outlineLevel="0" collapsed="false">
      <c r="A16" s="6" t="s">
        <v>183</v>
      </c>
      <c r="B16" s="7" t="s">
        <v>184</v>
      </c>
      <c r="C16" s="7" t="s">
        <v>185</v>
      </c>
    </row>
    <row r="17" customFormat="false" ht="15" hidden="false" customHeight="false" outlineLevel="0" collapsed="false">
      <c r="A17" s="12" t="s">
        <v>186</v>
      </c>
      <c r="B17" s="42" t="n">
        <v>5.1</v>
      </c>
      <c r="C17" s="11" t="s">
        <v>187</v>
      </c>
    </row>
    <row r="18" customFormat="false" ht="15" hidden="false" customHeight="false" outlineLevel="0" collapsed="false">
      <c r="A18" s="12" t="s">
        <v>188</v>
      </c>
      <c r="B18" s="42" t="n">
        <v>7.8</v>
      </c>
      <c r="C18" s="11" t="s">
        <v>189</v>
      </c>
    </row>
    <row r="19" customFormat="false" ht="15" hidden="false" customHeight="false" outlineLevel="0" collapsed="false">
      <c r="A19" s="8" t="s">
        <v>190</v>
      </c>
      <c r="B19" s="38" t="n">
        <f aca="false">AVERAGE(B17:B18)</f>
        <v>6.45</v>
      </c>
      <c r="C19" s="5"/>
    </row>
    <row r="20" customFormat="false" ht="15" hidden="false" customHeight="false" outlineLevel="0" collapsed="false">
      <c r="A20" s="8" t="s">
        <v>191</v>
      </c>
      <c r="B20" s="38" t="n">
        <f aca="false">B9</f>
        <v>9.77330247011952</v>
      </c>
      <c r="C20" s="5"/>
    </row>
    <row r="21" customFormat="false" ht="15" hidden="false" customHeight="false" outlineLevel="0" collapsed="false">
      <c r="A21" s="5"/>
      <c r="B21" s="5"/>
      <c r="C21" s="5"/>
    </row>
    <row r="22" customFormat="false" ht="53.7" hidden="false" customHeight="false" outlineLevel="0" collapsed="false">
      <c r="A22" s="43" t="s">
        <v>192</v>
      </c>
      <c r="B22" s="5"/>
      <c r="C2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4" t="s">
        <v>193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12" t="s">
        <v>194</v>
      </c>
    </row>
    <row r="4" customFormat="false" ht="15" hidden="false" customHeight="false" outlineLevel="0" collapsed="false">
      <c r="A4" s="12" t="s">
        <v>195</v>
      </c>
    </row>
    <row r="5" customFormat="false" ht="15" hidden="false" customHeight="false" outlineLevel="0" collapsed="false">
      <c r="A5" s="12" t="s">
        <v>196</v>
      </c>
    </row>
    <row r="6" customFormat="false" ht="15" hidden="false" customHeight="false" outlineLevel="0" collapsed="false">
      <c r="A6" s="12" t="s">
        <v>197</v>
      </c>
    </row>
    <row r="7" customFormat="false" ht="15" hidden="false" customHeight="false" outlineLevel="0" collapsed="false">
      <c r="A7" s="12" t="s">
        <v>198</v>
      </c>
    </row>
    <row r="8" customFormat="false" ht="15" hidden="false" customHeight="false" outlineLevel="0" collapsed="false">
      <c r="A8" s="12" t="s">
        <v>199</v>
      </c>
    </row>
    <row r="9" customFormat="false" ht="15" hidden="false" customHeight="false" outlineLevel="0" collapsed="false">
      <c r="A9" s="1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2026-10-16T17:10:27Z</dcterms:created>
  <dc:creator>Jaazim Jaseel</dc:creator>
  <dc:description/>
  <dc:language>en-US</dc:language>
  <cp:lastModifiedBy>Jaazim Jaseel</cp:lastModifiedBy>
  <dcterms:modified xsi:type="dcterms:W3CDTF">2026-10-16T17:10:27Z</dcterms:modified>
  <cp:revision>0</cp:revision>
  <dc:subject/>
  <dc:title>ICG DCF 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